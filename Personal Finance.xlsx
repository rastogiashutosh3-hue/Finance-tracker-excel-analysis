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D:\Data_Analyst\Excel\Projects\Finance Analysis\"/>
    </mc:Choice>
  </mc:AlternateContent>
  <xr:revisionPtr revIDLastSave="0" documentId="13_ncr:1_{D5E99924-9119-491B-976F-637C50A817E8}" xr6:coauthVersionLast="47" xr6:coauthVersionMax="47" xr10:uidLastSave="{00000000-0000-0000-0000-000000000000}"/>
  <bookViews>
    <workbookView xWindow="-108" yWindow="-108" windowWidth="23256" windowHeight="12456" firstSheet="1" activeTab="3" xr2:uid="{3F643ED9-A85B-471D-BAF1-AC0C7B16649F}"/>
  </bookViews>
  <sheets>
    <sheet name="Format Code" sheetId="2" state="hidden" r:id="rId1"/>
    <sheet name="Data" sheetId="1" r:id="rId2"/>
    <sheet name="Financial Goals" sheetId="4" r:id="rId3"/>
    <sheet name="Summary" sheetId="3" r:id="rId4"/>
    <sheet name="Dashboard" sheetId="5" r:id="rId5"/>
  </sheets>
  <definedNames>
    <definedName name="Slicer_Month">#N/A</definedName>
    <definedName name="Slicer_Year">#N/A</definedName>
  </definedNames>
  <calcPr calcId="191029"/>
  <pivotCaches>
    <pivotCache cacheId="20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6" i="4" l="1"/>
  <c r="G17" i="4"/>
  <c r="G18" i="4"/>
  <c r="G19" i="4"/>
  <c r="G20" i="4"/>
  <c r="G13" i="4"/>
  <c r="G14" i="4"/>
  <c r="G15" i="4"/>
  <c r="G12" i="4"/>
  <c r="F12" i="4"/>
  <c r="H13" i="4"/>
  <c r="H14" i="4"/>
  <c r="H15" i="4"/>
  <c r="F13" i="4"/>
  <c r="F14" i="4"/>
  <c r="F15" i="4"/>
  <c r="F16" i="4"/>
  <c r="F17" i="4"/>
  <c r="F18" i="4"/>
  <c r="F19" i="4"/>
  <c r="F20" i="4"/>
  <c r="E21" i="4"/>
  <c r="H12" i="4" s="1"/>
  <c r="D21" i="4"/>
  <c r="N10" i="3"/>
  <c r="N11" i="3"/>
  <c r="N12" i="3"/>
  <c r="N13" i="3"/>
  <c r="N14" i="3"/>
  <c r="N9" i="3"/>
  <c r="H41" i="3"/>
  <c r="H31" i="3"/>
  <c r="H32" i="3"/>
  <c r="G34" i="3"/>
  <c r="C15" i="3"/>
  <c r="G32" i="3"/>
  <c r="G35" i="3"/>
  <c r="C12" i="3"/>
  <c r="H33" i="3"/>
  <c r="G37" i="3"/>
  <c r="H34" i="3"/>
  <c r="G40" i="3"/>
  <c r="H35" i="3"/>
  <c r="G31" i="3"/>
  <c r="H36" i="3"/>
  <c r="G38" i="3"/>
  <c r="H37" i="3"/>
  <c r="G39" i="3"/>
  <c r="H38" i="3"/>
  <c r="H30" i="3"/>
  <c r="G41" i="3"/>
  <c r="H40" i="3"/>
  <c r="G33" i="3"/>
  <c r="H39" i="3"/>
  <c r="G30" i="3"/>
  <c r="G36" i="3"/>
  <c r="C13" i="3"/>
  <c r="I36" i="3" l="1"/>
  <c r="I30" i="3"/>
  <c r="J39" i="3"/>
  <c r="I33" i="3"/>
  <c r="J40" i="3"/>
  <c r="I41" i="3"/>
  <c r="J30" i="3"/>
  <c r="J38" i="3"/>
  <c r="I39" i="3"/>
  <c r="J37" i="3"/>
  <c r="I38" i="3"/>
  <c r="J36" i="3"/>
  <c r="I31" i="3"/>
  <c r="J35" i="3"/>
  <c r="I40" i="3"/>
  <c r="J34" i="3"/>
  <c r="I37" i="3"/>
  <c r="J33" i="3"/>
  <c r="C18" i="3"/>
  <c r="C14" i="3"/>
  <c r="C19" i="3" s="1"/>
  <c r="I35" i="3"/>
  <c r="I32" i="3"/>
  <c r="I34" i="3"/>
  <c r="J32" i="3"/>
  <c r="J31" i="3"/>
  <c r="J41" i="3"/>
  <c r="C20" i="3" l="1"/>
  <c r="C23" i="3" s="1"/>
  <c r="C16" i="3"/>
  <c r="C22" i="3" l="1"/>
</calcChain>
</file>

<file path=xl/sharedStrings.xml><?xml version="1.0" encoding="utf-8"?>
<sst xmlns="http://schemas.openxmlformats.org/spreadsheetml/2006/main" count="4507" uniqueCount="140">
  <si>
    <t>Year</t>
  </si>
  <si>
    <t>Month</t>
  </si>
  <si>
    <t>Date</t>
  </si>
  <si>
    <t>Type</t>
  </si>
  <si>
    <t>Category</t>
  </si>
  <si>
    <t>Subcategory</t>
  </si>
  <si>
    <t>Description</t>
  </si>
  <si>
    <t>Amount</t>
  </si>
  <si>
    <t>Payment Method</t>
  </si>
  <si>
    <t>Status</t>
  </si>
  <si>
    <t>Jun</t>
  </si>
  <si>
    <t>Income</t>
  </si>
  <si>
    <t>Salary</t>
  </si>
  <si>
    <t>Employer</t>
  </si>
  <si>
    <t>Bank Transfer</t>
  </si>
  <si>
    <t>Completed</t>
  </si>
  <si>
    <t>Expense</t>
  </si>
  <si>
    <t>Housing</t>
  </si>
  <si>
    <t>Rent</t>
  </si>
  <si>
    <t>Landlord</t>
  </si>
  <si>
    <t>UPI</t>
  </si>
  <si>
    <t>Maintenance</t>
  </si>
  <si>
    <t>Apartment Association</t>
  </si>
  <si>
    <t>Food</t>
  </si>
  <si>
    <t>Groceries</t>
  </si>
  <si>
    <t>BigBasket</t>
  </si>
  <si>
    <t>Restaurants</t>
  </si>
  <si>
    <t>Local Restaurant</t>
  </si>
  <si>
    <t>Debit Card</t>
  </si>
  <si>
    <t>Food Delivery</t>
  </si>
  <si>
    <t>Zomato</t>
  </si>
  <si>
    <t>Transportation</t>
  </si>
  <si>
    <t>Fuel</t>
  </si>
  <si>
    <t>IndianOil</t>
  </si>
  <si>
    <t>Cab</t>
  </si>
  <si>
    <t>Ola</t>
  </si>
  <si>
    <t>Metro/Bus</t>
  </si>
  <si>
    <t>Namma Metro</t>
  </si>
  <si>
    <t>Utilities</t>
  </si>
  <si>
    <t>Electricity</t>
  </si>
  <si>
    <t>BESCOM</t>
  </si>
  <si>
    <t>Internet</t>
  </si>
  <si>
    <t>JioFiber</t>
  </si>
  <si>
    <t>Mobile</t>
  </si>
  <si>
    <t>Jio</t>
  </si>
  <si>
    <t>Gas</t>
  </si>
  <si>
    <t>Indane</t>
  </si>
  <si>
    <t>Shopping</t>
  </si>
  <si>
    <t>Clothing</t>
  </si>
  <si>
    <t>Myntra</t>
  </si>
  <si>
    <t>Household</t>
  </si>
  <si>
    <t>DMart</t>
  </si>
  <si>
    <t>Others</t>
  </si>
  <si>
    <t>Pharmacy</t>
  </si>
  <si>
    <t>Netmeds</t>
  </si>
  <si>
    <t>OTT</t>
  </si>
  <si>
    <t>Netflix</t>
  </si>
  <si>
    <t>Movies</t>
  </si>
  <si>
    <t>BookMyShow</t>
  </si>
  <si>
    <t>Courses</t>
  </si>
  <si>
    <t>Udemy</t>
  </si>
  <si>
    <t>Insurance</t>
  </si>
  <si>
    <t>Health Insurance</t>
  </si>
  <si>
    <t>Insurance Provider</t>
  </si>
  <si>
    <t>Life Insurance</t>
  </si>
  <si>
    <t>EMI/Debt</t>
  </si>
  <si>
    <t>Personal Loan EMI</t>
  </si>
  <si>
    <t>Bank EMI</t>
  </si>
  <si>
    <t>Investment</t>
  </si>
  <si>
    <t>Investments</t>
  </si>
  <si>
    <t>Mutual Fund</t>
  </si>
  <si>
    <t>AMC SIP</t>
  </si>
  <si>
    <t>Auto Debit</t>
  </si>
  <si>
    <t>Index Fund</t>
  </si>
  <si>
    <t>PPF</t>
  </si>
  <si>
    <t>PPF Account</t>
  </si>
  <si>
    <t>Gold</t>
  </si>
  <si>
    <t>Gold Investment</t>
  </si>
  <si>
    <t>Jul</t>
  </si>
  <si>
    <t>Reliance Smart</t>
  </si>
  <si>
    <t>Swiggy</t>
  </si>
  <si>
    <t>BPCL</t>
  </si>
  <si>
    <t>BMTC</t>
  </si>
  <si>
    <t>Airtel</t>
  </si>
  <si>
    <t>AJIO</t>
  </si>
  <si>
    <t>Amazon</t>
  </si>
  <si>
    <t>Apollo Pharmacy</t>
  </si>
  <si>
    <t>Amazon Prime</t>
  </si>
  <si>
    <t>Aug</t>
  </si>
  <si>
    <t>Sep</t>
  </si>
  <si>
    <t>Oct</t>
  </si>
  <si>
    <t>Nov</t>
  </si>
  <si>
    <t>HPCL</t>
  </si>
  <si>
    <t>Dec</t>
  </si>
  <si>
    <t>Jan</t>
  </si>
  <si>
    <t>Coursera</t>
  </si>
  <si>
    <t>Feb</t>
  </si>
  <si>
    <t>Mar</t>
  </si>
  <si>
    <t>Uber</t>
  </si>
  <si>
    <t>Apr</t>
  </si>
  <si>
    <t>May</t>
  </si>
  <si>
    <t xml:space="preserve">_ [$₹-en-IN] * #,##0_ ;_ [$₹-en-IN] * -#,##0_ ;_ [$₹-en-IN] * "-"_ ;_ @_ </t>
  </si>
  <si>
    <t xml:space="preserve">Formate Code </t>
  </si>
  <si>
    <t>Revenue</t>
  </si>
  <si>
    <t>Grand Total</t>
  </si>
  <si>
    <t>Column Labels</t>
  </si>
  <si>
    <t>Sum of Amount</t>
  </si>
  <si>
    <t>Expense_2</t>
  </si>
  <si>
    <t>Income_2</t>
  </si>
  <si>
    <t>Expenses</t>
  </si>
  <si>
    <t>Expenses %</t>
  </si>
  <si>
    <t>Investment %</t>
  </si>
  <si>
    <t>KPI</t>
  </si>
  <si>
    <t>Value</t>
  </si>
  <si>
    <t>Total Income</t>
  </si>
  <si>
    <t>Total Expenses</t>
  </si>
  <si>
    <t>Total Savings</t>
  </si>
  <si>
    <t>Net Worth</t>
  </si>
  <si>
    <t>Savings Rate</t>
  </si>
  <si>
    <t>🏠</t>
  </si>
  <si>
    <t>😋</t>
  </si>
  <si>
    <t>💰</t>
  </si>
  <si>
    <t>🚌</t>
  </si>
  <si>
    <t>🪙</t>
  </si>
  <si>
    <t>🛒</t>
  </si>
  <si>
    <t>♾️</t>
  </si>
  <si>
    <t>📻</t>
  </si>
  <si>
    <t/>
  </si>
  <si>
    <t>Months</t>
  </si>
  <si>
    <t>Sr. No.</t>
  </si>
  <si>
    <t>Financial Goal</t>
  </si>
  <si>
    <t>Goal</t>
  </si>
  <si>
    <t>Actual</t>
  </si>
  <si>
    <t>%</t>
  </si>
  <si>
    <t>Key</t>
  </si>
  <si>
    <t>Contribution</t>
  </si>
  <si>
    <t>Emergency Fund</t>
  </si>
  <si>
    <t>Vacation Trip</t>
  </si>
  <si>
    <t>Car Fund</t>
  </si>
  <si>
    <t>Retirement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</si>
</sst>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 #,##0;&quot;₹&quot;\ \-#,##0"/>
    <numFmt numFmtId="44" formatCode="_ &quot;₹&quot;\ * #,##0.00_ ;_ &quot;₹&quot;\ * \-#,##0.00_ ;_ &quot;₹&quot;\ * &quot;-&quot;??_ ;_ @_ "/>
    <numFmt numFmtId="164" formatCode="_-* #,##0.00_-;\-* #,##0.00_-;_-* &quot;-&quot;??_-;_-@_-"/>
    <numFmt numFmtId="165" formatCode="_-* #,##0_-;\-* #,##0_-;_-* &quot;-&quot;??_-;_-@_-"/>
    <numFmt numFmtId="166" formatCode="_ [$₹-4009]\ * #,##0_ ;_ [$₹-4009]\ * \-#,##0_ ;_ [$₹-4009]\ * &quot;-&quot;??_ ;_ @_ "/>
    <numFmt numFmtId="167" formatCode="0.0%"/>
    <numFmt numFmtId="168" formatCode="_ &quot;₹&quot;\ * #,##0_ ;_ &quot;₹&quot;\ * \-#,##0_ ;_ &quot;₹&quot;\ * &quot;-&quot;??_ ;_ @_ "/>
  </numFmts>
  <fonts count="10" x14ac:knownFonts="1">
    <font>
      <sz val="11"/>
      <color theme="1"/>
      <name val="Aptos Narrow"/>
      <family val="2"/>
      <scheme val="minor"/>
    </font>
    <font>
      <sz val="11"/>
      <color theme="1"/>
      <name val="Aptos Narrow"/>
      <family val="2"/>
      <scheme val="minor"/>
    </font>
    <font>
      <sz val="11"/>
      <color theme="4" tint="-0.249977111117893"/>
      <name val="Aptos Narrow"/>
      <family val="2"/>
      <scheme val="minor"/>
    </font>
    <font>
      <b/>
      <sz val="11"/>
      <name val="Calibri"/>
      <family val="2"/>
    </font>
    <font>
      <sz val="1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sz val="11"/>
      <color theme="3" tint="0.249977111117893"/>
      <name val="Aptos Narrow"/>
      <family val="2"/>
      <scheme val="minor"/>
    </font>
  </fonts>
  <fills count="9">
    <fill>
      <patternFill patternType="none"/>
    </fill>
    <fill>
      <patternFill patternType="gray125"/>
    </fill>
    <fill>
      <patternFill patternType="solid">
        <fgColor theme="0"/>
        <bgColor indexed="64"/>
      </patternFill>
    </fill>
    <fill>
      <patternFill patternType="solid">
        <fgColor theme="0"/>
        <bgColor theme="4" tint="-0.249977111117893"/>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39997558519241921"/>
        <bgColor theme="4" tint="-0.249977111117893"/>
      </patternFill>
    </fill>
    <fill>
      <patternFill patternType="solid">
        <fgColor theme="4" tint="0.59999389629810485"/>
        <bgColor indexed="64"/>
      </patternFill>
    </fill>
    <fill>
      <patternFill patternType="solid">
        <fgColor theme="3" tint="0.499984740745262"/>
        <bgColor theme="4" tint="-0.249977111117893"/>
      </patternFill>
    </fill>
  </fills>
  <borders count="36">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3"/>
      </left>
      <right style="thin">
        <color indexed="64"/>
      </right>
      <top style="thin">
        <color theme="3"/>
      </top>
      <bottom style="thin">
        <color indexed="64"/>
      </bottom>
      <diagonal/>
    </border>
    <border>
      <left style="thin">
        <color indexed="64"/>
      </left>
      <right style="thin">
        <color theme="3"/>
      </right>
      <top style="thin">
        <color theme="3"/>
      </top>
      <bottom style="thin">
        <color indexed="64"/>
      </bottom>
      <diagonal/>
    </border>
    <border>
      <left style="thin">
        <color theme="3"/>
      </left>
      <right style="thin">
        <color indexed="64"/>
      </right>
      <top style="thin">
        <color indexed="64"/>
      </top>
      <bottom style="thin">
        <color indexed="64"/>
      </bottom>
      <diagonal/>
    </border>
    <border>
      <left style="thin">
        <color indexed="64"/>
      </left>
      <right style="thin">
        <color theme="3"/>
      </right>
      <top style="thin">
        <color indexed="64"/>
      </top>
      <bottom style="thin">
        <color indexed="64"/>
      </bottom>
      <diagonal/>
    </border>
    <border>
      <left style="thin">
        <color indexed="64"/>
      </left>
      <right style="thin">
        <color theme="3"/>
      </right>
      <top style="thin">
        <color indexed="64"/>
      </top>
      <bottom style="thin">
        <color theme="3" tint="0.249977111117893"/>
      </bottom>
      <diagonal/>
    </border>
    <border>
      <left style="thin">
        <color indexed="64"/>
      </left>
      <right style="thin">
        <color theme="3"/>
      </right>
      <top/>
      <bottom style="thin">
        <color theme="3" tint="0.249977111117893"/>
      </bottom>
      <diagonal/>
    </border>
    <border>
      <left style="thin">
        <color theme="3"/>
      </left>
      <right style="thin">
        <color indexed="64"/>
      </right>
      <top style="thin">
        <color indexed="64"/>
      </top>
      <bottom style="thin">
        <color theme="3"/>
      </bottom>
      <diagonal/>
    </border>
    <border>
      <left style="thin">
        <color indexed="64"/>
      </left>
      <right style="thin">
        <color theme="3"/>
      </right>
      <top/>
      <bottom style="thin">
        <color theme="3"/>
      </bottom>
      <diagonal/>
    </border>
    <border>
      <left style="thin">
        <color theme="3"/>
      </left>
      <right style="thin">
        <color indexed="64"/>
      </right>
      <top style="thin">
        <color theme="3"/>
      </top>
      <bottom style="thin">
        <color theme="3"/>
      </bottom>
      <diagonal/>
    </border>
    <border>
      <left style="thin">
        <color indexed="64"/>
      </left>
      <right style="thin">
        <color theme="3"/>
      </right>
      <top style="thin">
        <color theme="3"/>
      </top>
      <bottom style="thin">
        <color theme="3"/>
      </bottom>
      <diagonal/>
    </border>
    <border>
      <left/>
      <right/>
      <top style="thin">
        <color theme="3"/>
      </top>
      <bottom style="thin">
        <color theme="3"/>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0">
    <xf numFmtId="0" fontId="0" fillId="0" borderId="0" xfId="0"/>
    <xf numFmtId="166" fontId="2" fillId="0" borderId="1" xfId="0" applyNumberFormat="1" applyFont="1" applyBorder="1"/>
    <xf numFmtId="0" fontId="4" fillId="0" borderId="1" xfId="0" applyFont="1" applyBorder="1"/>
    <xf numFmtId="15" fontId="4" fillId="0" borderId="1" xfId="0" applyNumberFormat="1" applyFont="1" applyBorder="1"/>
    <xf numFmtId="165" fontId="4" fillId="0" borderId="1" xfId="1" applyNumberFormat="1" applyFont="1" applyFill="1" applyBorder="1"/>
    <xf numFmtId="0" fontId="4" fillId="0" borderId="2" xfId="0" applyFont="1" applyBorder="1"/>
    <xf numFmtId="0" fontId="4" fillId="0" borderId="3" xfId="0" applyFont="1" applyBorder="1"/>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4" fillId="0" borderId="7" xfId="0" applyFont="1" applyBorder="1"/>
    <xf numFmtId="0" fontId="4" fillId="0" borderId="8" xfId="0" applyFont="1" applyBorder="1"/>
    <xf numFmtId="15" fontId="4" fillId="0" borderId="8" xfId="0" applyNumberFormat="1" applyFont="1" applyBorder="1"/>
    <xf numFmtId="165" fontId="4" fillId="0" borderId="8" xfId="1" applyNumberFormat="1" applyFont="1" applyFill="1" applyBorder="1"/>
    <xf numFmtId="0" fontId="4" fillId="0" borderId="9" xfId="0" applyFont="1" applyBorder="1"/>
    <xf numFmtId="0" fontId="0" fillId="2" borderId="0" xfId="0" applyFill="1" applyBorder="1"/>
    <xf numFmtId="0" fontId="7" fillId="2" borderId="0" xfId="0" applyFont="1" applyFill="1" applyBorder="1"/>
    <xf numFmtId="0" fontId="0" fillId="2" borderId="0" xfId="0" applyFill="1" applyBorder="1" applyAlignment="1">
      <alignment horizontal="center" vertical="center"/>
    </xf>
    <xf numFmtId="0" fontId="5" fillId="3" borderId="0" xfId="0" applyFont="1" applyFill="1" applyBorder="1"/>
    <xf numFmtId="0" fontId="7" fillId="3" borderId="0" xfId="0" applyFont="1" applyFill="1" applyBorder="1"/>
    <xf numFmtId="0" fontId="6" fillId="2" borderId="0" xfId="0" applyFont="1" applyFill="1" applyBorder="1" applyAlignment="1">
      <alignment horizontal="left"/>
    </xf>
    <xf numFmtId="5" fontId="6" fillId="2" borderId="0" xfId="0" applyNumberFormat="1" applyFont="1" applyFill="1" applyBorder="1"/>
    <xf numFmtId="0" fontId="0" fillId="2" borderId="10" xfId="0" applyFill="1" applyBorder="1"/>
    <xf numFmtId="0" fontId="0" fillId="2" borderId="10" xfId="0" applyFill="1" applyBorder="1" applyAlignment="1">
      <alignment horizontal="left"/>
    </xf>
    <xf numFmtId="10" fontId="0" fillId="2" borderId="10" xfId="0" applyNumberFormat="1" applyFill="1" applyBorder="1"/>
    <xf numFmtId="0" fontId="9" fillId="2" borderId="10" xfId="0" applyFont="1" applyFill="1" applyBorder="1"/>
    <xf numFmtId="168" fontId="9" fillId="2" borderId="10" xfId="0" applyNumberFormat="1" applyFont="1" applyFill="1" applyBorder="1"/>
    <xf numFmtId="9" fontId="9" fillId="2" borderId="10" xfId="3" applyFont="1" applyFill="1" applyBorder="1"/>
    <xf numFmtId="5" fontId="9" fillId="2" borderId="10" xfId="0" applyNumberFormat="1" applyFont="1" applyFill="1" applyBorder="1"/>
    <xf numFmtId="10" fontId="9" fillId="2" borderId="10" xfId="0" applyNumberFormat="1" applyFont="1" applyFill="1" applyBorder="1"/>
    <xf numFmtId="167" fontId="9" fillId="2" borderId="10" xfId="0" applyNumberFormat="1" applyFont="1" applyFill="1" applyBorder="1"/>
    <xf numFmtId="0" fontId="9" fillId="2" borderId="0" xfId="0" applyFont="1" applyFill="1" applyBorder="1"/>
    <xf numFmtId="0" fontId="2" fillId="4" borderId="10" xfId="0" applyFont="1" applyFill="1" applyBorder="1"/>
    <xf numFmtId="0" fontId="2" fillId="2" borderId="0" xfId="0" applyFont="1" applyFill="1" applyBorder="1" applyAlignment="1">
      <alignment horizontal="left"/>
    </xf>
    <xf numFmtId="0" fontId="2" fillId="6" borderId="0" xfId="0" applyFont="1" applyFill="1" applyBorder="1"/>
    <xf numFmtId="0" fontId="0" fillId="2" borderId="0" xfId="0" applyFill="1"/>
    <xf numFmtId="0" fontId="8" fillId="2" borderId="0" xfId="0" applyFont="1" applyFill="1"/>
    <xf numFmtId="5" fontId="9" fillId="2" borderId="11" xfId="0" applyNumberFormat="1" applyFont="1" applyFill="1" applyBorder="1"/>
    <xf numFmtId="5" fontId="9" fillId="2" borderId="12" xfId="0" applyNumberFormat="1" applyFont="1" applyFill="1" applyBorder="1"/>
    <xf numFmtId="5" fontId="9" fillId="2" borderId="13" xfId="0" applyNumberFormat="1" applyFont="1" applyFill="1" applyBorder="1"/>
    <xf numFmtId="5" fontId="9" fillId="2" borderId="14" xfId="0" applyNumberFormat="1" applyFont="1" applyFill="1" applyBorder="1"/>
    <xf numFmtId="5" fontId="9" fillId="2" borderId="0" xfId="0" applyNumberFormat="1" applyFont="1" applyFill="1" applyBorder="1"/>
    <xf numFmtId="5" fontId="9" fillId="2" borderId="15" xfId="0" applyNumberFormat="1" applyFont="1" applyFill="1" applyBorder="1"/>
    <xf numFmtId="0" fontId="2" fillId="4" borderId="22" xfId="0" applyFont="1" applyFill="1" applyBorder="1"/>
    <xf numFmtId="0" fontId="2" fillId="4" borderId="23" xfId="0" applyFont="1" applyFill="1" applyBorder="1"/>
    <xf numFmtId="0" fontId="2" fillId="4" borderId="24" xfId="0" applyFont="1" applyFill="1" applyBorder="1"/>
    <xf numFmtId="0" fontId="2" fillId="5" borderId="0" xfId="0" applyFont="1" applyFill="1"/>
    <xf numFmtId="0" fontId="9" fillId="2" borderId="10" xfId="0" applyFont="1" applyFill="1" applyBorder="1" applyAlignment="1">
      <alignment horizontal="left"/>
    </xf>
    <xf numFmtId="0" fontId="2" fillId="2" borderId="0" xfId="0" applyFont="1" applyFill="1" applyBorder="1"/>
    <xf numFmtId="0" fontId="2" fillId="4" borderId="10" xfId="0" applyFont="1" applyFill="1" applyBorder="1" applyAlignment="1">
      <alignment horizontal="left"/>
    </xf>
    <xf numFmtId="5" fontId="2" fillId="4" borderId="10" xfId="0" applyNumberFormat="1" applyFont="1" applyFill="1" applyBorder="1"/>
    <xf numFmtId="167" fontId="2" fillId="4" borderId="10" xfId="0" applyNumberFormat="1" applyFont="1" applyFill="1" applyBorder="1"/>
    <xf numFmtId="0" fontId="9" fillId="2" borderId="25" xfId="0" applyFont="1" applyFill="1" applyBorder="1"/>
    <xf numFmtId="168" fontId="9" fillId="2" borderId="26" xfId="2" applyNumberFormat="1" applyFont="1" applyFill="1" applyBorder="1"/>
    <xf numFmtId="0" fontId="9" fillId="2" borderId="27" xfId="0" applyFont="1" applyFill="1" applyBorder="1"/>
    <xf numFmtId="168" fontId="9" fillId="2" borderId="28" xfId="2" applyNumberFormat="1" applyFont="1" applyFill="1" applyBorder="1"/>
    <xf numFmtId="168" fontId="9" fillId="2" borderId="29" xfId="2" applyNumberFormat="1" applyFont="1" applyFill="1" applyBorder="1"/>
    <xf numFmtId="168" fontId="9" fillId="2" borderId="30" xfId="2" applyNumberFormat="1" applyFont="1" applyFill="1" applyBorder="1"/>
    <xf numFmtId="0" fontId="9" fillId="2" borderId="31" xfId="0" applyFont="1" applyFill="1" applyBorder="1"/>
    <xf numFmtId="168" fontId="9" fillId="2" borderId="32" xfId="2" applyNumberFormat="1" applyFont="1" applyFill="1" applyBorder="1"/>
    <xf numFmtId="0" fontId="2" fillId="4" borderId="33" xfId="0" applyFont="1" applyFill="1" applyBorder="1"/>
    <xf numFmtId="0" fontId="2" fillId="4" borderId="34" xfId="0" applyFont="1" applyFill="1" applyBorder="1"/>
    <xf numFmtId="0" fontId="9" fillId="2" borderId="21" xfId="0" applyFont="1" applyFill="1" applyBorder="1"/>
    <xf numFmtId="168" fontId="9" fillId="2" borderId="21" xfId="0" applyNumberFormat="1" applyFont="1" applyFill="1" applyBorder="1"/>
    <xf numFmtId="0" fontId="0" fillId="2" borderId="35" xfId="0" applyFill="1" applyBorder="1"/>
    <xf numFmtId="0" fontId="2" fillId="2" borderId="33" xfId="0" applyFont="1" applyFill="1" applyBorder="1"/>
    <xf numFmtId="0" fontId="2" fillId="2" borderId="34" xfId="0" applyFont="1" applyFill="1" applyBorder="1"/>
    <xf numFmtId="0" fontId="2" fillId="7" borderId="33" xfId="0" applyFont="1" applyFill="1" applyBorder="1"/>
    <xf numFmtId="0" fontId="2" fillId="7" borderId="34" xfId="0" applyFont="1" applyFill="1" applyBorder="1"/>
    <xf numFmtId="0" fontId="9" fillId="7" borderId="27" xfId="0" applyFont="1" applyFill="1" applyBorder="1"/>
    <xf numFmtId="168" fontId="9" fillId="7" borderId="30" xfId="2" applyNumberFormat="1" applyFont="1" applyFill="1" applyBorder="1"/>
    <xf numFmtId="9" fontId="9" fillId="2" borderId="25" xfId="3" applyFont="1" applyFill="1" applyBorder="1"/>
    <xf numFmtId="9" fontId="9" fillId="2" borderId="27" xfId="3" applyFont="1" applyFill="1" applyBorder="1"/>
    <xf numFmtId="9" fontId="9" fillId="2" borderId="31" xfId="3" applyFont="1" applyFill="1" applyBorder="1"/>
    <xf numFmtId="9" fontId="2" fillId="2" borderId="33" xfId="3" applyFont="1" applyFill="1" applyBorder="1"/>
    <xf numFmtId="168" fontId="9" fillId="2" borderId="25" xfId="2" applyNumberFormat="1" applyFont="1" applyFill="1" applyBorder="1"/>
    <xf numFmtId="168" fontId="9" fillId="2" borderId="27" xfId="2" applyNumberFormat="1" applyFont="1" applyFill="1" applyBorder="1"/>
    <xf numFmtId="168" fontId="9" fillId="2" borderId="31" xfId="2" applyNumberFormat="1" applyFont="1" applyFill="1" applyBorder="1"/>
    <xf numFmtId="168" fontId="2" fillId="2" borderId="33" xfId="2" applyNumberFormat="1" applyFont="1" applyFill="1" applyBorder="1"/>
    <xf numFmtId="168" fontId="9" fillId="7" borderId="27" xfId="2" applyNumberFormat="1" applyFont="1" applyFill="1" applyBorder="1"/>
    <xf numFmtId="0" fontId="0" fillId="2" borderId="0" xfId="0" applyFill="1"/>
    <xf numFmtId="0" fontId="0" fillId="8" borderId="0" xfId="0" applyFont="1" applyFill="1" applyBorder="1"/>
    <xf numFmtId="10" fontId="2" fillId="4" borderId="10" xfId="0" applyNumberFormat="1" applyFont="1" applyFill="1" applyBorder="1"/>
    <xf numFmtId="0" fontId="0" fillId="7" borderId="10" xfId="0" applyFill="1" applyBorder="1"/>
    <xf numFmtId="0" fontId="9" fillId="2" borderId="19" xfId="0" applyFont="1" applyFill="1" applyBorder="1" applyAlignment="1">
      <alignment horizontal="left"/>
    </xf>
    <xf numFmtId="0" fontId="9" fillId="2" borderId="20" xfId="0" applyFont="1" applyFill="1" applyBorder="1" applyAlignment="1">
      <alignment horizontal="left"/>
    </xf>
    <xf numFmtId="0" fontId="9" fillId="2" borderId="21" xfId="0" applyFont="1" applyFill="1" applyBorder="1" applyAlignment="1">
      <alignment horizontal="left"/>
    </xf>
    <xf numFmtId="5" fontId="2" fillId="4" borderId="16" xfId="0" applyNumberFormat="1" applyFont="1" applyFill="1" applyBorder="1"/>
    <xf numFmtId="5" fontId="2" fillId="4" borderId="17" xfId="0" applyNumberFormat="1" applyFont="1" applyFill="1" applyBorder="1"/>
    <xf numFmtId="5" fontId="2" fillId="4" borderId="18" xfId="0" applyNumberFormat="1" applyFont="1" applyFill="1" applyBorder="1"/>
  </cellXfs>
  <cellStyles count="4">
    <cellStyle name="Comma" xfId="1" builtinId="3"/>
    <cellStyle name="Currency" xfId="2" builtinId="4"/>
    <cellStyle name="Normal" xfId="0" builtinId="0"/>
    <cellStyle name="Percent" xfId="3" builtinId="5"/>
  </cellStyles>
  <dxfs count="125">
    <dxf>
      <font>
        <b/>
        <i val="0"/>
        <color rgb="FF00B0F0"/>
      </font>
    </dxf>
    <dxf>
      <font>
        <b/>
        <i val="0"/>
        <color rgb="FFFF0000"/>
      </font>
    </dxf>
    <dxf>
      <font>
        <b/>
        <i val="0"/>
        <color rgb="FF00B0F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tint="4.9989318521683403E-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ont>
        <color theme="3" tint="0.249977111117893"/>
      </font>
    </dxf>
    <dxf>
      <font>
        <color theme="4" tint="-0.249977111117893"/>
      </font>
    </dxf>
    <dxf>
      <font>
        <color theme="4" tint="-0.249977111117893"/>
      </font>
    </dxf>
    <dxf>
      <font>
        <color theme="4" tint="-0.249977111117893"/>
      </font>
    </dxf>
    <dxf>
      <font>
        <color theme="4" tint="-0.249977111117893"/>
      </font>
    </dxf>
    <dxf>
      <font>
        <color theme="3" tint="0.249977111117893"/>
      </font>
    </dxf>
    <dxf>
      <font>
        <color theme="4" tint="-0.249977111117893"/>
      </font>
    </dxf>
    <dxf>
      <font>
        <color theme="4" tint="-0.249977111117893"/>
      </font>
    </dxf>
    <dxf>
      <fill>
        <patternFill>
          <bgColor theme="4" tint="0.59999389629810485"/>
        </patternFill>
      </fill>
    </dxf>
    <dxf>
      <numFmt numFmtId="14" formatCode="0.00%"/>
    </dxf>
    <dxf>
      <numFmt numFmtId="167" formatCode="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tint="4.9989318521683403E-2"/>
      </font>
    </dxf>
    <dxf>
      <font>
        <color theme="1" tint="4.9989318521683403E-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3" tint="0.249977111117893"/>
      </font>
    </dxf>
    <dxf>
      <font>
        <color theme="3" tint="0.249977111117893"/>
      </font>
    </dxf>
    <dxf>
      <font>
        <color theme="4" tint="-0.249977111117893"/>
      </font>
    </dxf>
    <dxf>
      <font>
        <color theme="4" tint="-0.249977111117893"/>
      </font>
    </dxf>
    <dxf>
      <font>
        <color theme="4" tint="-0.249977111117893"/>
      </font>
    </dxf>
    <dxf>
      <font>
        <color theme="4" tint="-0.249977111117893"/>
      </font>
    </dxf>
    <dxf>
      <font>
        <color theme="3" tint="0.249977111117893"/>
      </font>
    </dxf>
    <dxf>
      <font>
        <color theme="3" tint="0.249977111117893"/>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tint="4.9989318521683403E-2"/>
      </font>
    </dxf>
    <dxf>
      <font>
        <color theme="1" tint="4.9989318521683403E-2"/>
      </font>
    </dxf>
    <dxf>
      <font>
        <color theme="1" tint="4.9989318521683403E-2"/>
      </font>
    </dxf>
    <dxf>
      <font>
        <color theme="1" tint="4.9989318521683403E-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strike val="0"/>
        <condense val="0"/>
        <extend val="0"/>
        <outline val="0"/>
        <shadow val="0"/>
        <u val="none"/>
        <vertAlign val="baseline"/>
        <sz val="11"/>
        <color auto="1"/>
        <name val="Aptos Narrow"/>
        <family val="2"/>
        <scheme val="minor"/>
      </font>
      <border diagonalUp="0" diagonalDown="0">
        <left style="hair">
          <color auto="1"/>
        </left>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numFmt numFmtId="165" formatCode="_-* #,##0_-;\-* #,##0_-;_-* &quot;-&quot;??_-;_-@_-"/>
      <fill>
        <patternFill patternType="none">
          <fgColor indexed="64"/>
          <bgColor indexed="65"/>
        </patternFill>
      </fil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numFmt numFmtId="20" formatCode="dd/mmm/yy"/>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auto="1"/>
        <name val="Aptos Narrow"/>
        <family val="2"/>
        <scheme val="minor"/>
      </font>
      <border diagonalUp="0" diagonalDown="0">
        <left/>
        <right style="hair">
          <color auto="1"/>
        </right>
        <top style="hair">
          <color auto="1"/>
        </top>
        <bottom style="hair">
          <color auto="1"/>
        </bottom>
        <vertical/>
        <horizontal/>
      </border>
    </dxf>
    <dxf>
      <border outline="0">
        <top style="hair">
          <color auto="1"/>
        </top>
      </border>
    </dxf>
    <dxf>
      <border outline="0">
        <left style="hair">
          <color auto="1"/>
        </left>
        <right style="hair">
          <color auto="1"/>
        </right>
        <top style="hair">
          <color auto="1"/>
        </top>
        <bottom style="hair">
          <color auto="1"/>
        </bottom>
      </border>
    </dxf>
    <dxf>
      <font>
        <b val="0"/>
        <i val="0"/>
        <strike val="0"/>
        <condense val="0"/>
        <extend val="0"/>
        <outline val="0"/>
        <shadow val="0"/>
        <u val="none"/>
        <vertAlign val="baseline"/>
        <sz val="11"/>
        <color auto="1"/>
        <name val="Aptos Narrow"/>
        <family val="2"/>
        <scheme val="minor"/>
      </font>
    </dxf>
    <dxf>
      <border outline="0">
        <bottom style="hair">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hair">
          <color auto="1"/>
        </left>
        <right style="hair">
          <color auto="1"/>
        </right>
        <top/>
        <bottom/>
      </border>
    </dxf>
    <dxf>
      <numFmt numFmtId="9" formatCode="&quot;₹&quot;\ #,##0;&quot;₹&quot;\ \-#,##0"/>
    </dxf>
    <dxf>
      <numFmt numFmtId="167" formatCode="0.0%"/>
    </dxf>
    <dxf>
      <numFmt numFmtId="167" formatCode="0.0%"/>
    </dxf>
    <dxf>
      <numFmt numFmtId="167" formatCode="0.0%"/>
    </dxf>
    <dxf>
      <numFmt numFmtId="167" formatCode="0.0%"/>
    </dxf>
  </dxfs>
  <tableStyles count="0" defaultTableStyle="TableStyleMedium2" defaultPivotStyle="PivotStyleLight16"/>
  <colors>
    <mruColors>
      <color rgb="FF7ED4F6"/>
      <color rgb="FF0EF2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US" b="1">
                <a:solidFill>
                  <a:schemeClr val="tx2">
                    <a:lumMod val="90000"/>
                    <a:lumOff val="10000"/>
                  </a:schemeClr>
                </a:solidFill>
              </a:rPr>
              <a:t>Goal Achievement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'Financial Goals'!$F$11</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Goals'!$C$12:$C$15</c:f>
              <c:strCache>
                <c:ptCount val="4"/>
                <c:pt idx="0">
                  <c:v> Emergency Fund </c:v>
                </c:pt>
                <c:pt idx="1">
                  <c:v> Vacation Trip </c:v>
                </c:pt>
                <c:pt idx="2">
                  <c:v> Car Fund </c:v>
                </c:pt>
                <c:pt idx="3">
                  <c:v> Retirement Fund </c:v>
                </c:pt>
              </c:strCache>
            </c:strRef>
          </c:cat>
          <c:val>
            <c:numRef>
              <c:f>'Financial Goals'!$F$12:$F$15</c:f>
              <c:numCache>
                <c:formatCode>0%</c:formatCode>
                <c:ptCount val="4"/>
                <c:pt idx="0">
                  <c:v>0.75</c:v>
                </c:pt>
                <c:pt idx="1">
                  <c:v>0.53333333333333333</c:v>
                </c:pt>
                <c:pt idx="2">
                  <c:v>0.24</c:v>
                </c:pt>
                <c:pt idx="3">
                  <c:v>2.1</c:v>
                </c:pt>
              </c:numCache>
            </c:numRef>
          </c:val>
          <c:extLst>
            <c:ext xmlns:c16="http://schemas.microsoft.com/office/drawing/2014/chart" uri="{C3380CC4-5D6E-409C-BE32-E72D297353CC}">
              <c16:uniqueId val="{00000000-C74B-4228-B5F7-8352329DE50E}"/>
            </c:ext>
          </c:extLst>
        </c:ser>
        <c:dLbls>
          <c:dLblPos val="outEnd"/>
          <c:showLegendKey val="0"/>
          <c:showVal val="1"/>
          <c:showCatName val="0"/>
          <c:showSerName val="0"/>
          <c:showPercent val="0"/>
          <c:showBubbleSize val="0"/>
        </c:dLbls>
        <c:gapWidth val="164"/>
        <c:axId val="70511936"/>
        <c:axId val="70512416"/>
      </c:barChart>
      <c:catAx>
        <c:axId val="7051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12416"/>
        <c:crosses val="autoZero"/>
        <c:auto val="1"/>
        <c:lblAlgn val="ctr"/>
        <c:lblOffset val="100"/>
        <c:noMultiLvlLbl val="0"/>
      </c:catAx>
      <c:valAx>
        <c:axId val="705124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11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US" b="1">
                <a:solidFill>
                  <a:schemeClr val="tx2">
                    <a:lumMod val="90000"/>
                    <a:lumOff val="10000"/>
                  </a:schemeClr>
                </a:solidFill>
              </a:rPr>
              <a:t>Contribution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lotArea>
      <c:layout/>
      <c:doughnutChart>
        <c:varyColors val="1"/>
        <c:ser>
          <c:idx val="0"/>
          <c:order val="0"/>
          <c:tx>
            <c:strRef>
              <c:f>'Financial Goals'!$H$11</c:f>
              <c:strCache>
                <c:ptCount val="1"/>
                <c:pt idx="0">
                  <c:v>Contribution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'Financial Goals'!$C$12:$C$15</c:f>
              <c:strCache>
                <c:ptCount val="4"/>
                <c:pt idx="0">
                  <c:v> Emergency Fund </c:v>
                </c:pt>
                <c:pt idx="1">
                  <c:v> Vacation Trip </c:v>
                </c:pt>
                <c:pt idx="2">
                  <c:v> Car Fund </c:v>
                </c:pt>
                <c:pt idx="3">
                  <c:v> Retirement Fund </c:v>
                </c:pt>
              </c:strCache>
            </c:strRef>
          </c:cat>
          <c:val>
            <c:numRef>
              <c:f>'Financial Goals'!$H$12:$H$15</c:f>
              <c:numCache>
                <c:formatCode>0%</c:formatCode>
                <c:ptCount val="4"/>
                <c:pt idx="0">
                  <c:v>0.16853932584269662</c:v>
                </c:pt>
                <c:pt idx="1">
                  <c:v>8.98876404494382E-2</c:v>
                </c:pt>
                <c:pt idx="2">
                  <c:v>0.2696629213483146</c:v>
                </c:pt>
                <c:pt idx="3">
                  <c:v>0.47191011235955055</c:v>
                </c:pt>
              </c:numCache>
            </c:numRef>
          </c:val>
          <c:extLst>
            <c:ext xmlns:c16="http://schemas.microsoft.com/office/drawing/2014/chart" uri="{C3380CC4-5D6E-409C-BE32-E72D297353CC}">
              <c16:uniqueId val="{00000000-46F2-43CC-A6E9-D5EDD6D29C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302619880425699"/>
          <c:y val="0.21643243299766809"/>
          <c:w val="0.23964452465754155"/>
          <c:h val="0.70717445179910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IN" sz="1050" b="1">
                <a:solidFill>
                  <a:schemeClr val="tx2">
                    <a:lumMod val="90000"/>
                    <a:lumOff val="10000"/>
                  </a:schemeClr>
                </a:solidFill>
              </a:rPr>
              <a:t>INCOME</a:t>
            </a:r>
            <a:r>
              <a:rPr lang="en-IN" sz="1050" b="1" baseline="0">
                <a:solidFill>
                  <a:schemeClr val="tx2">
                    <a:lumMod val="90000"/>
                    <a:lumOff val="10000"/>
                  </a:schemeClr>
                </a:solidFill>
              </a:rPr>
              <a:t> VS EXPENSES</a:t>
            </a:r>
            <a:endParaRPr lang="en-IN" sz="1050" b="1">
              <a:solidFill>
                <a:schemeClr val="tx2">
                  <a:lumMod val="90000"/>
                  <a:lumOff val="10000"/>
                </a:schemeClr>
              </a:solidFill>
            </a:endParaRPr>
          </a:p>
        </c:rich>
      </c:tx>
      <c:layout>
        <c:manualLayout>
          <c:xMode val="edge"/>
          <c:yMode val="edge"/>
          <c:x val="5.0468555108939946E-2"/>
          <c:y val="3.64583393140320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lotArea>
      <c:layout/>
      <c:areaChart>
        <c:grouping val="stacked"/>
        <c:varyColors val="0"/>
        <c:ser>
          <c:idx val="3"/>
          <c:order val="3"/>
          <c:tx>
            <c:strRef>
              <c:f>Summary!$J$29</c:f>
              <c:strCache>
                <c:ptCount val="1"/>
                <c:pt idx="0">
                  <c:v>Income_2</c:v>
                </c:pt>
              </c:strCache>
            </c:strRef>
          </c:tx>
          <c:spPr>
            <a:solidFill>
              <a:srgbClr val="7ED4F6"/>
            </a:solidFill>
            <a:ln>
              <a:noFill/>
            </a:ln>
            <a:effectLst/>
          </c:spPr>
          <c:cat>
            <c:strRef>
              <c:f>Summary!$F$30:$F$41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Summary!$J$30:$J$41</c:f>
              <c:numCache>
                <c:formatCode>"₹"#,##0_);\("₹"#,##0\)</c:formatCode>
                <c:ptCount val="12"/>
                <c:pt idx="0">
                  <c:v>86852</c:v>
                </c:pt>
                <c:pt idx="1">
                  <c:v>114001</c:v>
                </c:pt>
                <c:pt idx="2">
                  <c:v>125768</c:v>
                </c:pt>
                <c:pt idx="3">
                  <c:v>100320</c:v>
                </c:pt>
                <c:pt idx="4">
                  <c:v>97536</c:v>
                </c:pt>
                <c:pt idx="5">
                  <c:v>104735</c:v>
                </c:pt>
                <c:pt idx="6">
                  <c:v>114566</c:v>
                </c:pt>
                <c:pt idx="7">
                  <c:v>128249</c:v>
                </c:pt>
                <c:pt idx="8">
                  <c:v>117857</c:v>
                </c:pt>
                <c:pt idx="9">
                  <c:v>124046</c:v>
                </c:pt>
                <c:pt idx="10">
                  <c:v>137892</c:v>
                </c:pt>
                <c:pt idx="11">
                  <c:v>147241</c:v>
                </c:pt>
              </c:numCache>
            </c:numRef>
          </c:val>
          <c:extLst>
            <c:ext xmlns:c16="http://schemas.microsoft.com/office/drawing/2014/chart" uri="{C3380CC4-5D6E-409C-BE32-E72D297353CC}">
              <c16:uniqueId val="{00000000-CAE1-4E8F-B7F0-37CD36632460}"/>
            </c:ext>
          </c:extLst>
        </c:ser>
        <c:dLbls>
          <c:showLegendKey val="0"/>
          <c:showVal val="0"/>
          <c:showCatName val="0"/>
          <c:showSerName val="0"/>
          <c:showPercent val="0"/>
          <c:showBubbleSize val="0"/>
        </c:dLbls>
        <c:axId val="2018220128"/>
        <c:axId val="2018222528"/>
      </c:areaChart>
      <c:areaChart>
        <c:grouping val="stacked"/>
        <c:varyColors val="0"/>
        <c:ser>
          <c:idx val="2"/>
          <c:order val="2"/>
          <c:tx>
            <c:strRef>
              <c:f>Summary!$I$29</c:f>
              <c:strCache>
                <c:ptCount val="1"/>
                <c:pt idx="0">
                  <c:v>Expense_2</c:v>
                </c:pt>
              </c:strCache>
            </c:strRef>
          </c:tx>
          <c:spPr>
            <a:solidFill>
              <a:schemeClr val="accent1">
                <a:lumMod val="20000"/>
                <a:lumOff val="80000"/>
              </a:schemeClr>
            </a:solidFill>
            <a:ln>
              <a:noFill/>
            </a:ln>
            <a:effectLst/>
          </c:spPr>
          <c:cat>
            <c:strRef>
              <c:f>Summary!$F$30:$F$41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Summary!$I$30:$I$41</c:f>
              <c:numCache>
                <c:formatCode>"₹"#,##0_);\("₹"#,##0\)</c:formatCode>
                <c:ptCount val="12"/>
                <c:pt idx="0">
                  <c:v>53428.500000000015</c:v>
                </c:pt>
                <c:pt idx="1">
                  <c:v>74763.000000000015</c:v>
                </c:pt>
                <c:pt idx="2">
                  <c:v>82333.799999999988</c:v>
                </c:pt>
                <c:pt idx="3">
                  <c:v>65802.599999999991</c:v>
                </c:pt>
                <c:pt idx="4">
                  <c:v>61731.899999999994</c:v>
                </c:pt>
                <c:pt idx="5">
                  <c:v>68711.399999999994</c:v>
                </c:pt>
                <c:pt idx="6">
                  <c:v>75638.700000000026</c:v>
                </c:pt>
                <c:pt idx="7">
                  <c:v>84410.1</c:v>
                </c:pt>
                <c:pt idx="8">
                  <c:v>77162.39999999998</c:v>
                </c:pt>
                <c:pt idx="9">
                  <c:v>83244.60000000002</c:v>
                </c:pt>
                <c:pt idx="10">
                  <c:v>100152.90000000002</c:v>
                </c:pt>
                <c:pt idx="11">
                  <c:v>110047.5</c:v>
                </c:pt>
              </c:numCache>
            </c:numRef>
          </c:val>
          <c:extLst>
            <c:ext xmlns:c16="http://schemas.microsoft.com/office/drawing/2014/chart" uri="{C3380CC4-5D6E-409C-BE32-E72D297353CC}">
              <c16:uniqueId val="{00000001-CAE1-4E8F-B7F0-37CD36632460}"/>
            </c:ext>
          </c:extLst>
        </c:ser>
        <c:dLbls>
          <c:showLegendKey val="0"/>
          <c:showVal val="0"/>
          <c:showCatName val="0"/>
          <c:showSerName val="0"/>
          <c:showPercent val="0"/>
          <c:showBubbleSize val="0"/>
        </c:dLbls>
        <c:axId val="2018147168"/>
        <c:axId val="2018153888"/>
      </c:areaChart>
      <c:lineChart>
        <c:grouping val="stacked"/>
        <c:varyColors val="0"/>
        <c:ser>
          <c:idx val="0"/>
          <c:order val="0"/>
          <c:tx>
            <c:strRef>
              <c:f>Summary!$G$29</c:f>
              <c:strCache>
                <c:ptCount val="1"/>
                <c:pt idx="0">
                  <c:v>Expense</c:v>
                </c:pt>
              </c:strCache>
            </c:strRef>
          </c:tx>
          <c:spPr>
            <a:ln w="22225" cap="rnd">
              <a:solidFill>
                <a:schemeClr val="accent1"/>
              </a:solidFill>
              <a:round/>
            </a:ln>
            <a:effectLst/>
          </c:spPr>
          <c:marker>
            <c:symbol val="diamond"/>
            <c:size val="5"/>
            <c:spPr>
              <a:solidFill>
                <a:schemeClr val="accent1">
                  <a:lumMod val="75000"/>
                </a:schemeClr>
              </a:solidFill>
              <a:ln w="9525">
                <a:solidFill>
                  <a:schemeClr val="accent1"/>
                </a:solidFill>
              </a:ln>
              <a:effectLst/>
            </c:spPr>
          </c:marker>
          <c:dPt>
            <c:idx val="4"/>
            <c:marker>
              <c:symbol val="diamond"/>
              <c:size val="5"/>
              <c:spPr>
                <a:solidFill>
                  <a:schemeClr val="accent1">
                    <a:lumMod val="75000"/>
                  </a:schemeClr>
                </a:solidFill>
                <a:ln w="9525">
                  <a:solidFill>
                    <a:schemeClr val="accent1"/>
                  </a:solidFill>
                </a:ln>
                <a:effectLst/>
              </c:spPr>
            </c:marker>
            <c:bubble3D val="0"/>
            <c:spPr>
              <a:ln w="22225" cap="rnd">
                <a:solidFill>
                  <a:schemeClr val="accent1"/>
                </a:solidFill>
                <a:round/>
              </a:ln>
              <a:effectLst/>
            </c:spPr>
            <c:extLst>
              <c:ext xmlns:c16="http://schemas.microsoft.com/office/drawing/2014/chart" uri="{C3380CC4-5D6E-409C-BE32-E72D297353CC}">
                <c16:uniqueId val="{00000005-CAE1-4E8F-B7F0-37CD36632460}"/>
              </c:ext>
            </c:extLst>
          </c:dPt>
          <c:cat>
            <c:strRef>
              <c:f>Summary!$F$30:$F$41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Summary!$G$30:$G$41</c:f>
              <c:numCache>
                <c:formatCode>"₹"#,##0_);\("₹"#,##0\)</c:formatCode>
                <c:ptCount val="12"/>
                <c:pt idx="0">
                  <c:v>53428.500000000015</c:v>
                </c:pt>
                <c:pt idx="1">
                  <c:v>74763.000000000015</c:v>
                </c:pt>
                <c:pt idx="2">
                  <c:v>82333.799999999988</c:v>
                </c:pt>
                <c:pt idx="3">
                  <c:v>65802.599999999991</c:v>
                </c:pt>
                <c:pt idx="4">
                  <c:v>61731.899999999994</c:v>
                </c:pt>
                <c:pt idx="5">
                  <c:v>68711.399999999994</c:v>
                </c:pt>
                <c:pt idx="6">
                  <c:v>75638.700000000026</c:v>
                </c:pt>
                <c:pt idx="7">
                  <c:v>84410.1</c:v>
                </c:pt>
                <c:pt idx="8">
                  <c:v>77162.39999999998</c:v>
                </c:pt>
                <c:pt idx="9">
                  <c:v>83244.60000000002</c:v>
                </c:pt>
                <c:pt idx="10">
                  <c:v>100152.90000000002</c:v>
                </c:pt>
                <c:pt idx="11">
                  <c:v>110047.5</c:v>
                </c:pt>
              </c:numCache>
            </c:numRef>
          </c:val>
          <c:smooth val="0"/>
          <c:extLst>
            <c:ext xmlns:c16="http://schemas.microsoft.com/office/drawing/2014/chart" uri="{C3380CC4-5D6E-409C-BE32-E72D297353CC}">
              <c16:uniqueId val="{00000002-CAE1-4E8F-B7F0-37CD36632460}"/>
            </c:ext>
          </c:extLst>
        </c:ser>
        <c:dLbls>
          <c:showLegendKey val="0"/>
          <c:showVal val="0"/>
          <c:showCatName val="0"/>
          <c:showSerName val="0"/>
          <c:showPercent val="0"/>
          <c:showBubbleSize val="0"/>
        </c:dLbls>
        <c:marker val="1"/>
        <c:smooth val="0"/>
        <c:axId val="2018220128"/>
        <c:axId val="2018222528"/>
      </c:lineChart>
      <c:lineChart>
        <c:grouping val="stacked"/>
        <c:varyColors val="0"/>
        <c:ser>
          <c:idx val="1"/>
          <c:order val="1"/>
          <c:tx>
            <c:strRef>
              <c:f>Summary!$H$29</c:f>
              <c:strCache>
                <c:ptCount val="1"/>
                <c:pt idx="0">
                  <c:v>Income</c:v>
                </c:pt>
              </c:strCache>
            </c:strRef>
          </c:tx>
          <c:spPr>
            <a:ln w="15875" cap="rnd">
              <a:solidFill>
                <a:srgbClr val="0070C0"/>
              </a:solidFill>
              <a:round/>
            </a:ln>
            <a:effectLst/>
          </c:spPr>
          <c:marker>
            <c:symbol val="diamond"/>
            <c:size val="6"/>
            <c:spPr>
              <a:solidFill>
                <a:schemeClr val="accent1">
                  <a:lumMod val="60000"/>
                  <a:lumOff val="40000"/>
                </a:schemeClr>
              </a:solidFill>
              <a:ln w="9525">
                <a:solidFill>
                  <a:schemeClr val="accent1">
                    <a:lumMod val="40000"/>
                    <a:lumOff val="60000"/>
                  </a:schemeClr>
                </a:solidFill>
              </a:ln>
              <a:effectLst/>
            </c:spPr>
          </c:marker>
          <c:cat>
            <c:strRef>
              <c:f>Summary!$F$30:$F$41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Summary!$H$30:$H$41</c:f>
              <c:numCache>
                <c:formatCode>"₹"#,##0_);\("₹"#,##0\)</c:formatCode>
                <c:ptCount val="12"/>
                <c:pt idx="0">
                  <c:v>86852</c:v>
                </c:pt>
                <c:pt idx="1">
                  <c:v>114001</c:v>
                </c:pt>
                <c:pt idx="2">
                  <c:v>125768</c:v>
                </c:pt>
                <c:pt idx="3">
                  <c:v>100320</c:v>
                </c:pt>
                <c:pt idx="4">
                  <c:v>97536</c:v>
                </c:pt>
                <c:pt idx="5">
                  <c:v>104735</c:v>
                </c:pt>
                <c:pt idx="6">
                  <c:v>114566</c:v>
                </c:pt>
                <c:pt idx="7">
                  <c:v>128249</c:v>
                </c:pt>
                <c:pt idx="8">
                  <c:v>117857</c:v>
                </c:pt>
                <c:pt idx="9">
                  <c:v>124046</c:v>
                </c:pt>
                <c:pt idx="10">
                  <c:v>137892</c:v>
                </c:pt>
                <c:pt idx="11">
                  <c:v>147241</c:v>
                </c:pt>
              </c:numCache>
            </c:numRef>
          </c:val>
          <c:smooth val="0"/>
          <c:extLst>
            <c:ext xmlns:c16="http://schemas.microsoft.com/office/drawing/2014/chart" uri="{C3380CC4-5D6E-409C-BE32-E72D297353CC}">
              <c16:uniqueId val="{00000003-CAE1-4E8F-B7F0-37CD36632460}"/>
            </c:ext>
          </c:extLst>
        </c:ser>
        <c:dLbls>
          <c:showLegendKey val="0"/>
          <c:showVal val="0"/>
          <c:showCatName val="0"/>
          <c:showSerName val="0"/>
          <c:showPercent val="0"/>
          <c:showBubbleSize val="0"/>
        </c:dLbls>
        <c:marker val="1"/>
        <c:smooth val="0"/>
        <c:axId val="2018147168"/>
        <c:axId val="2018153888"/>
      </c:lineChart>
      <c:catAx>
        <c:axId val="20182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22528"/>
        <c:crosses val="autoZero"/>
        <c:auto val="1"/>
        <c:lblAlgn val="ctr"/>
        <c:lblOffset val="100"/>
        <c:noMultiLvlLbl val="0"/>
      </c:catAx>
      <c:valAx>
        <c:axId val="201822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220128"/>
        <c:crosses val="autoZero"/>
        <c:crossBetween val="between"/>
        <c:majorUnit val="20000"/>
      </c:valAx>
      <c:valAx>
        <c:axId val="2018153888"/>
        <c:scaling>
          <c:orientation val="minMax"/>
        </c:scaling>
        <c:delete val="0"/>
        <c:axPos val="r"/>
        <c:numFmt formatCode="&quot;₹&quot;#,##0_);\(&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147168"/>
        <c:crosses val="max"/>
        <c:crossBetween val="between"/>
        <c:majorUnit val="20000"/>
      </c:valAx>
      <c:catAx>
        <c:axId val="2018147168"/>
        <c:scaling>
          <c:orientation val="minMax"/>
        </c:scaling>
        <c:delete val="1"/>
        <c:axPos val="b"/>
        <c:numFmt formatCode="General" sourceLinked="1"/>
        <c:majorTickMark val="out"/>
        <c:minorTickMark val="none"/>
        <c:tickLblPos val="nextTo"/>
        <c:crossAx val="20181538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Finance.xlsx]Summary!PivotTable17</c:name>
    <c:fmtId val="2"/>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IN" sz="1050" b="1">
                <a:solidFill>
                  <a:schemeClr val="tx2">
                    <a:lumMod val="90000"/>
                    <a:lumOff val="10000"/>
                  </a:schemeClr>
                </a:solidFill>
              </a:rPr>
              <a:t>EXPENSES</a:t>
            </a:r>
            <a:r>
              <a:rPr lang="en-IN" sz="1050" b="1" baseline="0">
                <a:solidFill>
                  <a:schemeClr val="tx2">
                    <a:lumMod val="90000"/>
                    <a:lumOff val="10000"/>
                  </a:schemeClr>
                </a:solidFill>
              </a:rPr>
              <a:t> BREAKDOWN</a:t>
            </a:r>
            <a:endParaRPr lang="en-IN" sz="1050" b="1">
              <a:solidFill>
                <a:schemeClr val="tx2">
                  <a:lumMod val="90000"/>
                  <a:lumOff val="10000"/>
                </a:schemeClr>
              </a:solidFill>
            </a:endParaRPr>
          </a:p>
        </c:rich>
      </c:tx>
      <c:layout>
        <c:manualLayout>
          <c:xMode val="edge"/>
          <c:yMode val="edge"/>
          <c:x val="4.0657629660699218E-2"/>
          <c:y val="4.8611111111111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Summary!$M$11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3D-474D-96E2-B1AD257D0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3D-474D-96E2-B1AD257D03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3D-474D-96E2-B1AD257D03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3D-474D-96E2-B1AD257D03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3D-474D-96E2-B1AD257D03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03D-474D-96E2-B1AD257D03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03D-474D-96E2-B1AD257D03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03D-474D-96E2-B1AD257D0312}"/>
              </c:ext>
            </c:extLst>
          </c:dPt>
          <c:cat>
            <c:strRef>
              <c:f>Summary!$L$12:$L$20</c:f>
              <c:strCache>
                <c:ptCount val="8"/>
                <c:pt idx="0">
                  <c:v>Housing</c:v>
                </c:pt>
                <c:pt idx="1">
                  <c:v>Food</c:v>
                </c:pt>
                <c:pt idx="2">
                  <c:v>EMI/Debt</c:v>
                </c:pt>
                <c:pt idx="3">
                  <c:v>Transportation</c:v>
                </c:pt>
                <c:pt idx="4">
                  <c:v>Insurance</c:v>
                </c:pt>
                <c:pt idx="5">
                  <c:v>Utilities</c:v>
                </c:pt>
                <c:pt idx="6">
                  <c:v>Shopping</c:v>
                </c:pt>
                <c:pt idx="7">
                  <c:v>Others</c:v>
                </c:pt>
              </c:strCache>
            </c:strRef>
          </c:cat>
          <c:val>
            <c:numRef>
              <c:f>Summary!$M$12:$M$20</c:f>
              <c:numCache>
                <c:formatCode>General</c:formatCode>
                <c:ptCount val="8"/>
                <c:pt idx="0">
                  <c:v>0.4053789125429873</c:v>
                </c:pt>
                <c:pt idx="1">
                  <c:v>0.1725195999178176</c:v>
                </c:pt>
                <c:pt idx="2">
                  <c:v>0.10916909405464359</c:v>
                </c:pt>
                <c:pt idx="3">
                  <c:v>7.1620586298202907E-2</c:v>
                </c:pt>
                <c:pt idx="4">
                  <c:v>7.0653791429608315E-2</c:v>
                </c:pt>
                <c:pt idx="5">
                  <c:v>6.5343620209949049E-2</c:v>
                </c:pt>
                <c:pt idx="6">
                  <c:v>5.6533977991255639E-2</c:v>
                </c:pt>
                <c:pt idx="7">
                  <c:v>4.8780417555535513E-2</c:v>
                </c:pt>
              </c:numCache>
            </c:numRef>
          </c:val>
          <c:extLst>
            <c:ext xmlns:c16="http://schemas.microsoft.com/office/drawing/2014/chart" uri="{C3380CC4-5D6E-409C-BE32-E72D297353CC}">
              <c16:uniqueId val="{00000010-903D-474D-96E2-B1AD257D031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6974698162729662"/>
          <c:y val="0.17558781714785651"/>
          <c:w val="0.30358635170603676"/>
          <c:h val="0.75174103237095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Finance.xlsx]Summary!PivotTable17</c:name>
    <c:fmtId val="7"/>
  </c:pivotSource>
  <c:chart>
    <c:autoTitleDeleted val="1"/>
    <c:pivotFmts>
      <c:pivotFmt>
        <c:idx val="0"/>
        <c:spPr>
          <a:noFill/>
          <a:ln>
            <a:noFill/>
          </a:ln>
          <a:effectLst/>
        </c:spPr>
        <c:marker>
          <c:symbol val="none"/>
        </c:marker>
        <c:dLbl>
          <c:idx val="0"/>
          <c:numFmt formatCode="0.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noFill/>
          <a:ln>
            <a:noFill/>
          </a:ln>
          <a:effectLst/>
        </c:spPr>
        <c:marker>
          <c:symbol val="none"/>
        </c:marker>
        <c:dLbl>
          <c:idx val="0"/>
          <c:numFmt formatCode="0.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noFill/>
          <a:ln>
            <a:noFill/>
          </a:ln>
          <a:effectLst/>
        </c:spPr>
        <c:marker>
          <c:symbol val="none"/>
        </c:marker>
        <c:dLbl>
          <c:idx val="0"/>
          <c:numFmt formatCode="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percentStacked"/>
        <c:varyColors val="0"/>
        <c:ser>
          <c:idx val="0"/>
          <c:order val="0"/>
          <c:tx>
            <c:strRef>
              <c:f>Summary!$M$11</c:f>
              <c:strCache>
                <c:ptCount val="1"/>
                <c:pt idx="0">
                  <c:v>Total</c:v>
                </c:pt>
              </c:strCache>
            </c:strRef>
          </c:tx>
          <c:spPr>
            <a:noFill/>
            <a:ln>
              <a:noFill/>
            </a:ln>
            <a:effectLst/>
          </c:spPr>
          <c:invertIfNegative val="0"/>
          <c:dLbls>
            <c:numFmt formatCode="0.0%" sourceLinked="0"/>
            <c:spPr>
              <a:noFill/>
              <a:ln>
                <a:noFill/>
              </a:ln>
              <a:effectLst/>
            </c:spPr>
            <c:txPr>
              <a:bodyPr rot="0" spcFirstLastPara="1" vertOverflow="ellipsis" horzOverflow="clip"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Summary!$L$12:$L$20</c:f>
              <c:strCache>
                <c:ptCount val="8"/>
                <c:pt idx="0">
                  <c:v>Housing</c:v>
                </c:pt>
                <c:pt idx="1">
                  <c:v>Food</c:v>
                </c:pt>
                <c:pt idx="2">
                  <c:v>EMI/Debt</c:v>
                </c:pt>
                <c:pt idx="3">
                  <c:v>Transportation</c:v>
                </c:pt>
                <c:pt idx="4">
                  <c:v>Insurance</c:v>
                </c:pt>
                <c:pt idx="5">
                  <c:v>Utilities</c:v>
                </c:pt>
                <c:pt idx="6">
                  <c:v>Shopping</c:v>
                </c:pt>
                <c:pt idx="7">
                  <c:v>Others</c:v>
                </c:pt>
              </c:strCache>
            </c:strRef>
          </c:cat>
          <c:val>
            <c:numRef>
              <c:f>Summary!$M$12:$M$20</c:f>
              <c:numCache>
                <c:formatCode>General</c:formatCode>
                <c:ptCount val="8"/>
                <c:pt idx="0">
                  <c:v>0.4053789125429873</c:v>
                </c:pt>
                <c:pt idx="1">
                  <c:v>0.1725195999178176</c:v>
                </c:pt>
                <c:pt idx="2">
                  <c:v>0.10916909405464359</c:v>
                </c:pt>
                <c:pt idx="3">
                  <c:v>7.1620586298202907E-2</c:v>
                </c:pt>
                <c:pt idx="4">
                  <c:v>7.0653791429608315E-2</c:v>
                </c:pt>
                <c:pt idx="5">
                  <c:v>6.5343620209949049E-2</c:v>
                </c:pt>
                <c:pt idx="6">
                  <c:v>5.6533977991255639E-2</c:v>
                </c:pt>
                <c:pt idx="7">
                  <c:v>4.8780417555535513E-2</c:v>
                </c:pt>
              </c:numCache>
            </c:numRef>
          </c:val>
          <c:extLst>
            <c:ext xmlns:c16="http://schemas.microsoft.com/office/drawing/2014/chart" uri="{C3380CC4-5D6E-409C-BE32-E72D297353CC}">
              <c16:uniqueId val="{00000000-C0AE-4C4B-80C6-AEE3C2270A19}"/>
            </c:ext>
          </c:extLst>
        </c:ser>
        <c:dLbls>
          <c:dLblPos val="ctr"/>
          <c:showLegendKey val="0"/>
          <c:showVal val="1"/>
          <c:showCatName val="0"/>
          <c:showSerName val="0"/>
          <c:showPercent val="0"/>
          <c:showBubbleSize val="0"/>
        </c:dLbls>
        <c:gapWidth val="150"/>
        <c:overlap val="100"/>
        <c:axId val="2018127488"/>
        <c:axId val="2018130848"/>
      </c:barChart>
      <c:catAx>
        <c:axId val="2018127488"/>
        <c:scaling>
          <c:orientation val="maxMin"/>
        </c:scaling>
        <c:delete val="1"/>
        <c:axPos val="l"/>
        <c:numFmt formatCode="General" sourceLinked="1"/>
        <c:majorTickMark val="none"/>
        <c:minorTickMark val="none"/>
        <c:tickLblPos val="nextTo"/>
        <c:crossAx val="2018130848"/>
        <c:crosses val="autoZero"/>
        <c:auto val="1"/>
        <c:lblAlgn val="ctr"/>
        <c:lblOffset val="100"/>
        <c:noMultiLvlLbl val="0"/>
      </c:catAx>
      <c:valAx>
        <c:axId val="2018130848"/>
        <c:scaling>
          <c:orientation val="minMax"/>
        </c:scaling>
        <c:delete val="1"/>
        <c:axPos val="t"/>
        <c:numFmt formatCode="0%" sourceLinked="1"/>
        <c:majorTickMark val="none"/>
        <c:minorTickMark val="none"/>
        <c:tickLblPos val="nextTo"/>
        <c:crossAx val="20181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2">
                    <a:lumMod val="90000"/>
                    <a:lumOff val="10000"/>
                  </a:schemeClr>
                </a:solidFill>
                <a:latin typeface="+mn-lt"/>
                <a:ea typeface="+mn-ea"/>
                <a:cs typeface="+mn-cs"/>
              </a:defRPr>
            </a:pPr>
            <a:r>
              <a:rPr lang="en-IN" sz="1050" b="1">
                <a:solidFill>
                  <a:schemeClr val="tx2">
                    <a:lumMod val="90000"/>
                    <a:lumOff val="10000"/>
                  </a:schemeClr>
                </a:solidFill>
              </a:rPr>
              <a:t>SAVINGS RATE</a:t>
            </a:r>
          </a:p>
        </c:rich>
      </c:tx>
      <c:layout>
        <c:manualLayout>
          <c:xMode val="edge"/>
          <c:yMode val="edge"/>
          <c:x val="0.16995327930049803"/>
          <c:y val="7.6142131979695438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2">
                  <a:lumMod val="90000"/>
                  <a:lumOff val="10000"/>
                </a:schemeClr>
              </a:solidFill>
              <a:latin typeface="+mn-lt"/>
              <a:ea typeface="+mn-ea"/>
              <a:cs typeface="+mn-cs"/>
            </a:defRPr>
          </a:pPr>
          <a:endParaRPr lang="en-US"/>
        </a:p>
      </c:txPr>
    </c:title>
    <c:autoTitleDeleted val="0"/>
    <c:plotArea>
      <c:layout>
        <c:manualLayout>
          <c:layoutTarget val="inner"/>
          <c:xMode val="edge"/>
          <c:yMode val="edge"/>
          <c:x val="0.2985961057193432"/>
          <c:y val="0.20973675758884569"/>
          <c:w val="0.39836208157264802"/>
          <c:h val="0.68955060820443126"/>
        </c:manualLayout>
      </c:layout>
      <c:doughnutChart>
        <c:varyColors val="1"/>
        <c:ser>
          <c:idx val="0"/>
          <c:order val="0"/>
          <c:val>
            <c:numRef>
              <c:f>Summary!$C$18:$C$19</c:f>
            </c:numRef>
          </c:val>
          <c:extLst>
            <c:ext xmlns:c15="http://schemas.microsoft.com/office/drawing/2012/chart" uri="{02D57815-91ED-43cb-92C2-25804820EDAC}">
              <c15:filteredCategoryTitle>
                <c15:cat>
                  <c:strRef>
                    <c:extLst>
                      <c:ext uri="{02D57815-91ED-43cb-92C2-25804820EDAC}">
                        <c15:formulaRef>
                          <c15:sqref>Summary!$B$18:$B$19</c15:sqref>
                        </c15:formulaRef>
                      </c:ext>
                    </c:extLst>
                  </c:strRef>
                </c15:cat>
              </c15:filteredCategoryTitle>
            </c:ext>
            <c:ext xmlns:c16="http://schemas.microsoft.com/office/drawing/2014/chart" uri="{C3380CC4-5D6E-409C-BE32-E72D297353CC}">
              <c16:uniqueId val="{00000004-5FD3-4C6A-9C4C-9A890354E08F}"/>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b"/>
      <c:layout>
        <c:manualLayout>
          <c:xMode val="edge"/>
          <c:yMode val="edge"/>
          <c:x val="0.20806493180600488"/>
          <c:y val="0.86726358572267059"/>
          <c:w val="0.58386979728309152"/>
          <c:h val="0.118671716668327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Finance.xlsx]Summary!PivotTable18</c:name>
    <c:fmtId val="7"/>
  </c:pivotSource>
  <c:chart>
    <c:title>
      <c:tx>
        <c:rich>
          <a:bodyPr rot="0" spcFirstLastPara="1" vertOverflow="ellipsis" vert="horz" wrap="square" anchor="ctr" anchorCtr="1"/>
          <a:lstStyle/>
          <a:p>
            <a:pPr>
              <a:defRPr sz="1200" b="1" i="0" u="none" strike="noStrike" kern="1200" spc="0" baseline="0">
                <a:solidFill>
                  <a:schemeClr val="tx2">
                    <a:lumMod val="90000"/>
                    <a:lumOff val="10000"/>
                  </a:schemeClr>
                </a:solidFill>
                <a:latin typeface="+mn-lt"/>
                <a:ea typeface="+mn-ea"/>
                <a:cs typeface="+mn-cs"/>
              </a:defRPr>
            </a:pPr>
            <a:r>
              <a:rPr lang="en-US" sz="1200" b="1">
                <a:solidFill>
                  <a:schemeClr val="tx2">
                    <a:lumMod val="90000"/>
                    <a:lumOff val="10000"/>
                  </a:schemeClr>
                </a:solidFill>
              </a:rPr>
              <a:t>TOP</a:t>
            </a:r>
            <a:r>
              <a:rPr lang="en-US" sz="1200" b="1" baseline="0">
                <a:solidFill>
                  <a:schemeClr val="tx2">
                    <a:lumMod val="90000"/>
                    <a:lumOff val="10000"/>
                  </a:schemeClr>
                </a:solidFill>
              </a:rPr>
              <a:t> EXPENSES</a:t>
            </a:r>
            <a:endParaRPr lang="en-US" sz="1200" b="1">
              <a:solidFill>
                <a:schemeClr val="tx2">
                  <a:lumMod val="90000"/>
                  <a:lumOff val="10000"/>
                </a:schemeClr>
              </a:solidFill>
            </a:endParaRPr>
          </a:p>
        </c:rich>
      </c:tx>
      <c:layout>
        <c:manualLayout>
          <c:xMode val="edge"/>
          <c:yMode val="edge"/>
          <c:x val="5.6462845510894658E-2"/>
          <c:y val="4.881450488145049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75">
            <a:fgClr>
              <a:schemeClr val="accent1">
                <a:lumMod val="60000"/>
                <a:lumOff val="40000"/>
              </a:schemeClr>
            </a:fgClr>
            <a:bgClr>
              <a:schemeClr val="bg1"/>
            </a:bgClr>
          </a:patt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Summary!$P$11</c:f>
              <c:strCache>
                <c:ptCount val="1"/>
                <c:pt idx="0">
                  <c:v>Total</c:v>
                </c:pt>
              </c:strCache>
            </c:strRef>
          </c:tx>
          <c:spPr>
            <a:pattFill prst="pct75">
              <a:fgClr>
                <a:schemeClr val="accent1">
                  <a:lumMod val="60000"/>
                  <a:lumOff val="40000"/>
                </a:schemeClr>
              </a:fgClr>
              <a:bgClr>
                <a:schemeClr val="bg1"/>
              </a:bgClr>
            </a:patt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Summary!$O$12:$O$17</c:f>
              <c:strCache>
                <c:ptCount val="5"/>
                <c:pt idx="0">
                  <c:v>Housing</c:v>
                </c:pt>
                <c:pt idx="1">
                  <c:v>Food</c:v>
                </c:pt>
                <c:pt idx="2">
                  <c:v>EMI/Debt</c:v>
                </c:pt>
                <c:pt idx="3">
                  <c:v>Transportation</c:v>
                </c:pt>
                <c:pt idx="4">
                  <c:v>Insurance</c:v>
                </c:pt>
              </c:strCache>
            </c:strRef>
          </c:cat>
          <c:val>
            <c:numRef>
              <c:f>Summary!$P$12:$P$17</c:f>
              <c:numCache>
                <c:formatCode>"₹"#,##0_);\("₹"#,##0\)</c:formatCode>
                <c:ptCount val="5"/>
                <c:pt idx="0">
                  <c:v>380013.3</c:v>
                </c:pt>
                <c:pt idx="1">
                  <c:v>161724.59999999998</c:v>
                </c:pt>
                <c:pt idx="2">
                  <c:v>102338.1</c:v>
                </c:pt>
                <c:pt idx="3">
                  <c:v>67139.099999999977</c:v>
                </c:pt>
                <c:pt idx="4">
                  <c:v>66232.800000000003</c:v>
                </c:pt>
              </c:numCache>
            </c:numRef>
          </c:val>
          <c:extLst>
            <c:ext xmlns:c16="http://schemas.microsoft.com/office/drawing/2014/chart" uri="{C3380CC4-5D6E-409C-BE32-E72D297353CC}">
              <c16:uniqueId val="{00000000-2553-4B2C-B2A1-75AD1BE3876F}"/>
            </c:ext>
          </c:extLst>
        </c:ser>
        <c:dLbls>
          <c:dLblPos val="outEnd"/>
          <c:showLegendKey val="0"/>
          <c:showVal val="1"/>
          <c:showCatName val="0"/>
          <c:showSerName val="0"/>
          <c:showPercent val="0"/>
          <c:showBubbleSize val="0"/>
        </c:dLbls>
        <c:gapWidth val="100"/>
        <c:axId val="2018174528"/>
        <c:axId val="2018175008"/>
      </c:barChart>
      <c:catAx>
        <c:axId val="20181745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8175008"/>
        <c:crosses val="autoZero"/>
        <c:auto val="1"/>
        <c:lblAlgn val="ctr"/>
        <c:lblOffset val="100"/>
        <c:noMultiLvlLbl val="0"/>
      </c:catAx>
      <c:valAx>
        <c:axId val="201817500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_);\(&quot;₹&quot;#,##0\)" sourceLinked="0"/>
        <c:majorTickMark val="none"/>
        <c:minorTickMark val="none"/>
        <c:tickLblPos val="nextTo"/>
        <c:crossAx val="201817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Finance.xlsx]Summary!PivotTable7</c:name>
    <c:fmtId val="10"/>
  </c:pivotSource>
  <c:chart>
    <c:title>
      <c:tx>
        <c:rich>
          <a:bodyPr rot="0" spcFirstLastPara="1" vertOverflow="ellipsis" vert="horz" wrap="square" anchor="ctr" anchorCtr="1"/>
          <a:lstStyle/>
          <a:p>
            <a:pPr algn="ctr">
              <a:defRPr sz="1100" b="1" i="0" u="none" strike="noStrike" kern="1200" spc="0" baseline="0">
                <a:solidFill>
                  <a:schemeClr val="tx2">
                    <a:lumMod val="90000"/>
                    <a:lumOff val="10000"/>
                  </a:schemeClr>
                </a:solidFill>
                <a:latin typeface="+mn-lt"/>
                <a:ea typeface="+mn-ea"/>
                <a:cs typeface="+mn-cs"/>
              </a:defRPr>
            </a:pPr>
            <a:r>
              <a:rPr lang="en-US" sz="1100" b="1">
                <a:solidFill>
                  <a:schemeClr val="tx2">
                    <a:lumMod val="90000"/>
                    <a:lumOff val="10000"/>
                  </a:schemeClr>
                </a:solidFill>
              </a:rPr>
              <a:t>INVESTMENT %</a:t>
            </a:r>
          </a:p>
        </c:rich>
      </c:tx>
      <c:layout>
        <c:manualLayout>
          <c:xMode val="edge"/>
          <c:yMode val="edge"/>
          <c:x val="0.3139873916469661"/>
          <c:y val="4.8309178743961352E-2"/>
        </c:manualLayout>
      </c:layout>
      <c:overlay val="0"/>
      <c:spPr>
        <a:noFill/>
        <a:ln>
          <a:noFill/>
        </a:ln>
        <a:effectLst/>
      </c:spPr>
      <c:txPr>
        <a:bodyPr rot="0" spcFirstLastPara="1" vertOverflow="ellipsis" vert="horz" wrap="square" anchor="ctr" anchorCtr="1"/>
        <a:lstStyle/>
        <a:p>
          <a:pPr algn="ctr">
            <a:defRPr sz="11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Summary!$S$11</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Summary!$R$12:$R$17</c:f>
              <c:strCache>
                <c:ptCount val="5"/>
                <c:pt idx="0">
                  <c:v>Others</c:v>
                </c:pt>
                <c:pt idx="1">
                  <c:v>Gold</c:v>
                </c:pt>
                <c:pt idx="2">
                  <c:v>PPF</c:v>
                </c:pt>
                <c:pt idx="3">
                  <c:v>Index Fund</c:v>
                </c:pt>
                <c:pt idx="4">
                  <c:v>Mutual Fund</c:v>
                </c:pt>
              </c:strCache>
            </c:strRef>
          </c:cat>
          <c:val>
            <c:numRef>
              <c:f>Summary!$S$12:$S$17</c:f>
              <c:numCache>
                <c:formatCode>0.00%</c:formatCode>
                <c:ptCount val="5"/>
                <c:pt idx="0">
                  <c:v>1.2521506760867213E-2</c:v>
                </c:pt>
                <c:pt idx="1">
                  <c:v>8.2694195320576702E-2</c:v>
                </c:pt>
                <c:pt idx="2">
                  <c:v>0.16887425869321002</c:v>
                </c:pt>
                <c:pt idx="3">
                  <c:v>0.28559112335270342</c:v>
                </c:pt>
                <c:pt idx="4">
                  <c:v>0.45031891587264267</c:v>
                </c:pt>
              </c:numCache>
            </c:numRef>
          </c:val>
          <c:extLst>
            <c:ext xmlns:c16="http://schemas.microsoft.com/office/drawing/2014/chart" uri="{C3380CC4-5D6E-409C-BE32-E72D297353CC}">
              <c16:uniqueId val="{00000000-CE44-4FF4-9A9C-B0F3B7F332F1}"/>
            </c:ext>
          </c:extLst>
        </c:ser>
        <c:dLbls>
          <c:dLblPos val="outEnd"/>
          <c:showLegendKey val="0"/>
          <c:showVal val="1"/>
          <c:showCatName val="0"/>
          <c:showSerName val="0"/>
          <c:showPercent val="0"/>
          <c:showBubbleSize val="0"/>
        </c:dLbls>
        <c:gapWidth val="219"/>
        <c:overlap val="-27"/>
        <c:axId val="1585438384"/>
        <c:axId val="1585438864"/>
      </c:barChart>
      <c:catAx>
        <c:axId val="158543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438864"/>
        <c:crosses val="autoZero"/>
        <c:auto val="1"/>
        <c:lblAlgn val="ctr"/>
        <c:lblOffset val="100"/>
        <c:noMultiLvlLbl val="0"/>
      </c:catAx>
      <c:valAx>
        <c:axId val="1585438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543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2">
                    <a:lumMod val="90000"/>
                    <a:lumOff val="10000"/>
                  </a:schemeClr>
                </a:solidFill>
                <a:latin typeface="+mn-lt"/>
                <a:ea typeface="+mn-ea"/>
                <a:cs typeface="+mn-cs"/>
              </a:defRPr>
            </a:pPr>
            <a:r>
              <a:rPr lang="en-IN" sz="1100" b="1">
                <a:solidFill>
                  <a:schemeClr val="tx2">
                    <a:lumMod val="90000"/>
                    <a:lumOff val="10000"/>
                  </a:schemeClr>
                </a:solidFill>
              </a:rPr>
              <a:t>FINANCIAL GOALS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2">
                  <a:lumMod val="90000"/>
                  <a:lumOff val="10000"/>
                </a:schemeClr>
              </a:solidFill>
              <a:latin typeface="+mn-lt"/>
              <a:ea typeface="+mn-ea"/>
              <a:cs typeface="+mn-cs"/>
            </a:defRPr>
          </a:pPr>
          <a:endParaRPr lang="en-US"/>
        </a:p>
      </c:txPr>
    </c:title>
    <c:autoTitleDeleted val="0"/>
    <c:plotArea>
      <c:layout>
        <c:manualLayout>
          <c:layoutTarget val="inner"/>
          <c:xMode val="edge"/>
          <c:yMode val="edge"/>
          <c:x val="0.19129110385592044"/>
          <c:y val="0.25233812949640289"/>
          <c:w val="0.7714460235153533"/>
          <c:h val="0.43604061632583696"/>
        </c:manualLayout>
      </c:layout>
      <c:barChart>
        <c:barDir val="col"/>
        <c:grouping val="clustered"/>
        <c:varyColors val="0"/>
        <c:ser>
          <c:idx val="0"/>
          <c:order val="0"/>
          <c:tx>
            <c:strRef>
              <c:f>'Financial Goals'!$D$11</c:f>
              <c:strCache>
                <c:ptCount val="1"/>
                <c:pt idx="0">
                  <c:v>Goal</c:v>
                </c:pt>
              </c:strCache>
            </c:strRef>
          </c:tx>
          <c:spPr>
            <a:solidFill>
              <a:schemeClr val="accent1"/>
            </a:solidFill>
            <a:ln>
              <a:noFill/>
            </a:ln>
            <a:effectLst/>
          </c:spPr>
          <c:invertIfNegative val="0"/>
          <c:cat>
            <c:strRef>
              <c:f>'Financial Goals'!$C$12:$C$15</c:f>
              <c:strCache>
                <c:ptCount val="4"/>
                <c:pt idx="0">
                  <c:v> Emergency Fund </c:v>
                </c:pt>
                <c:pt idx="1">
                  <c:v> Vacation Trip </c:v>
                </c:pt>
                <c:pt idx="2">
                  <c:v> Car Fund </c:v>
                </c:pt>
                <c:pt idx="3">
                  <c:v> Retirement Fund </c:v>
                </c:pt>
              </c:strCache>
            </c:strRef>
          </c:cat>
          <c:val>
            <c:numRef>
              <c:f>'Financial Goals'!$D$12:$D$15</c:f>
              <c:numCache>
                <c:formatCode>_ "₹"\ * #,##0_ ;_ "₹"\ * \-#,##0_ ;_ "₹"\ * "-"??_ ;_ @_ </c:formatCode>
                <c:ptCount val="4"/>
                <c:pt idx="0">
                  <c:v>100000</c:v>
                </c:pt>
                <c:pt idx="1">
                  <c:v>75000</c:v>
                </c:pt>
                <c:pt idx="2">
                  <c:v>500000</c:v>
                </c:pt>
                <c:pt idx="3">
                  <c:v>100000</c:v>
                </c:pt>
              </c:numCache>
            </c:numRef>
          </c:val>
          <c:extLst>
            <c:ext xmlns:c16="http://schemas.microsoft.com/office/drawing/2014/chart" uri="{C3380CC4-5D6E-409C-BE32-E72D297353CC}">
              <c16:uniqueId val="{00000000-B80C-4620-872D-69F29357876F}"/>
            </c:ext>
          </c:extLst>
        </c:ser>
        <c:ser>
          <c:idx val="1"/>
          <c:order val="1"/>
          <c:tx>
            <c:strRef>
              <c:f>'Financial Goals'!$E$11</c:f>
              <c:strCache>
                <c:ptCount val="1"/>
                <c:pt idx="0">
                  <c:v>Actual</c:v>
                </c:pt>
              </c:strCache>
            </c:strRef>
          </c:tx>
          <c:spPr>
            <a:solidFill>
              <a:schemeClr val="tx2">
                <a:lumMod val="25000"/>
                <a:lumOff val="75000"/>
              </a:schemeClr>
            </a:solidFill>
            <a:ln>
              <a:solidFill>
                <a:schemeClr val="tx2">
                  <a:lumMod val="50000"/>
                  <a:lumOff val="50000"/>
                </a:schemeClr>
              </a:solidFill>
            </a:ln>
            <a:effectLst/>
          </c:spPr>
          <c:invertIfNegative val="0"/>
          <c:cat>
            <c:strRef>
              <c:f>'Financial Goals'!$C$12:$C$15</c:f>
              <c:strCache>
                <c:ptCount val="4"/>
                <c:pt idx="0">
                  <c:v> Emergency Fund </c:v>
                </c:pt>
                <c:pt idx="1">
                  <c:v> Vacation Trip </c:v>
                </c:pt>
                <c:pt idx="2">
                  <c:v> Car Fund </c:v>
                </c:pt>
                <c:pt idx="3">
                  <c:v> Retirement Fund </c:v>
                </c:pt>
              </c:strCache>
            </c:strRef>
          </c:cat>
          <c:val>
            <c:numRef>
              <c:f>'Financial Goals'!$E$12:$E$15</c:f>
              <c:numCache>
                <c:formatCode>_ "₹"\ * #,##0_ ;_ "₹"\ * \-#,##0_ ;_ "₹"\ * "-"??_ ;_ @_ </c:formatCode>
                <c:ptCount val="4"/>
                <c:pt idx="0">
                  <c:v>75000</c:v>
                </c:pt>
                <c:pt idx="1">
                  <c:v>40000</c:v>
                </c:pt>
                <c:pt idx="2">
                  <c:v>120000</c:v>
                </c:pt>
                <c:pt idx="3">
                  <c:v>210000</c:v>
                </c:pt>
              </c:numCache>
            </c:numRef>
          </c:val>
          <c:extLst>
            <c:ext xmlns:c16="http://schemas.microsoft.com/office/drawing/2014/chart" uri="{C3380CC4-5D6E-409C-BE32-E72D297353CC}">
              <c16:uniqueId val="{00000001-B80C-4620-872D-69F29357876F}"/>
            </c:ext>
          </c:extLst>
        </c:ser>
        <c:dLbls>
          <c:showLegendKey val="0"/>
          <c:showVal val="0"/>
          <c:showCatName val="0"/>
          <c:showSerName val="0"/>
          <c:showPercent val="0"/>
          <c:showBubbleSize val="0"/>
        </c:dLbls>
        <c:gapWidth val="219"/>
        <c:overlap val="-27"/>
        <c:axId val="1701176624"/>
        <c:axId val="1701172304"/>
      </c:barChart>
      <c:catAx>
        <c:axId val="17011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2304"/>
        <c:crosses val="autoZero"/>
        <c:auto val="1"/>
        <c:lblAlgn val="ctr"/>
        <c:lblOffset val="100"/>
        <c:noMultiLvlLbl val="0"/>
      </c:catAx>
      <c:valAx>
        <c:axId val="1701172304"/>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6624"/>
        <c:crosses val="autoZero"/>
        <c:crossBetween val="between"/>
      </c:valAx>
      <c:spPr>
        <a:noFill/>
        <a:ln>
          <a:noFill/>
        </a:ln>
        <a:effectLst/>
      </c:spPr>
    </c:plotArea>
    <c:legend>
      <c:legendPos val="r"/>
      <c:layout>
        <c:manualLayout>
          <c:xMode val="edge"/>
          <c:yMode val="edge"/>
          <c:x val="0.77097521143190439"/>
          <c:y val="8.573335112771921E-2"/>
          <c:w val="0.16235812190142895"/>
          <c:h val="0.2312869789581387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hyperlink" Target="#Dashboard!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hyperlink" Target="#Summary!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hyperlink" Target="#'Financial Goals'!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hyperlink" Target="#Dashboard!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hyperlink" Target="#Summary!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hyperlink" Target="#Data!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hyperlink" Target="#Dashboard!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hyperlink" Target="#'Financial Goals'!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hyperlink" Target="#Data!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4.xml.rels><?xml version="1.0" encoding="UTF-8" standalone="yes"?>
<Relationships xmlns="http://schemas.openxmlformats.org/package/2006/relationships"><Relationship Id="rId13" Type="http://schemas.openxmlformats.org/officeDocument/2006/relationships/chart" Target="../charts/chart5.xml"/><Relationship Id="rId18" Type="http://schemas.openxmlformats.org/officeDocument/2006/relationships/image" Target="../media/image1.png"/><Relationship Id="rId26" Type="http://schemas.openxmlformats.org/officeDocument/2006/relationships/image" Target="../media/image9.png"/><Relationship Id="rId39" Type="http://schemas.openxmlformats.org/officeDocument/2006/relationships/hyperlink" Target="#Dashboard!A1"/><Relationship Id="rId21" Type="http://schemas.openxmlformats.org/officeDocument/2006/relationships/image" Target="../media/image29.svg"/><Relationship Id="rId34" Type="http://schemas.openxmlformats.org/officeDocument/2006/relationships/image" Target="../media/image17.png"/><Relationship Id="rId7" Type="http://schemas.openxmlformats.org/officeDocument/2006/relationships/image" Target="../media/image25.png"/><Relationship Id="rId12" Type="http://schemas.openxmlformats.org/officeDocument/2006/relationships/chart" Target="../charts/chart4.xml"/><Relationship Id="rId17" Type="http://schemas.openxmlformats.org/officeDocument/2006/relationships/chart" Target="../charts/chart9.xml"/><Relationship Id="rId25" Type="http://schemas.openxmlformats.org/officeDocument/2006/relationships/image" Target="../media/image8.svg"/><Relationship Id="rId33" Type="http://schemas.openxmlformats.org/officeDocument/2006/relationships/image" Target="../media/image16.svg"/><Relationship Id="rId38" Type="http://schemas.openxmlformats.org/officeDocument/2006/relationships/hyperlink" Target="#Summary!A1"/><Relationship Id="rId2" Type="http://schemas.openxmlformats.org/officeDocument/2006/relationships/image" Target="../media/image20.svg"/><Relationship Id="rId16" Type="http://schemas.openxmlformats.org/officeDocument/2006/relationships/chart" Target="../charts/chart8.xml"/><Relationship Id="rId20" Type="http://schemas.openxmlformats.org/officeDocument/2006/relationships/image" Target="../media/image3.png"/><Relationship Id="rId29" Type="http://schemas.openxmlformats.org/officeDocument/2006/relationships/image" Target="../media/image12.svg"/><Relationship Id="rId1" Type="http://schemas.openxmlformats.org/officeDocument/2006/relationships/image" Target="../media/image19.png"/><Relationship Id="rId6" Type="http://schemas.openxmlformats.org/officeDocument/2006/relationships/image" Target="../media/image24.svg"/><Relationship Id="rId11" Type="http://schemas.openxmlformats.org/officeDocument/2006/relationships/chart" Target="../charts/chart3.xml"/><Relationship Id="rId24" Type="http://schemas.openxmlformats.org/officeDocument/2006/relationships/image" Target="../media/image7.png"/><Relationship Id="rId32" Type="http://schemas.openxmlformats.org/officeDocument/2006/relationships/image" Target="../media/image15.png"/><Relationship Id="rId37" Type="http://schemas.openxmlformats.org/officeDocument/2006/relationships/hyperlink" Target="#'Financial Goals'!A1"/><Relationship Id="rId5" Type="http://schemas.openxmlformats.org/officeDocument/2006/relationships/image" Target="../media/image23.png"/><Relationship Id="rId15" Type="http://schemas.openxmlformats.org/officeDocument/2006/relationships/chart" Target="../charts/chart7.xml"/><Relationship Id="rId23" Type="http://schemas.openxmlformats.org/officeDocument/2006/relationships/image" Target="../media/image6.svg"/><Relationship Id="rId28" Type="http://schemas.openxmlformats.org/officeDocument/2006/relationships/image" Target="../media/image11.png"/><Relationship Id="rId36" Type="http://schemas.openxmlformats.org/officeDocument/2006/relationships/hyperlink" Target="#Data!A1"/><Relationship Id="rId10" Type="http://schemas.openxmlformats.org/officeDocument/2006/relationships/image" Target="../media/image28.svg"/><Relationship Id="rId19" Type="http://schemas.openxmlformats.org/officeDocument/2006/relationships/image" Target="../media/image2.svg"/><Relationship Id="rId31" Type="http://schemas.openxmlformats.org/officeDocument/2006/relationships/image" Target="../media/image14.svg"/><Relationship Id="rId4" Type="http://schemas.openxmlformats.org/officeDocument/2006/relationships/image" Target="../media/image22.svg"/><Relationship Id="rId9" Type="http://schemas.openxmlformats.org/officeDocument/2006/relationships/image" Target="../media/image27.png"/><Relationship Id="rId14" Type="http://schemas.openxmlformats.org/officeDocument/2006/relationships/chart" Target="../charts/chart6.xml"/><Relationship Id="rId22" Type="http://schemas.openxmlformats.org/officeDocument/2006/relationships/image" Target="../media/image5.png"/><Relationship Id="rId27" Type="http://schemas.openxmlformats.org/officeDocument/2006/relationships/image" Target="../media/image10.svg"/><Relationship Id="rId30" Type="http://schemas.openxmlformats.org/officeDocument/2006/relationships/image" Target="../media/image13.png"/><Relationship Id="rId35" Type="http://schemas.openxmlformats.org/officeDocument/2006/relationships/image" Target="../media/image18.svg"/><Relationship Id="rId8" Type="http://schemas.openxmlformats.org/officeDocument/2006/relationships/image" Target="../media/image26.svg"/><Relationship Id="rId3"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144780</xdr:rowOff>
    </xdr:from>
    <xdr:to>
      <xdr:col>12</xdr:col>
      <xdr:colOff>343988</xdr:colOff>
      <xdr:row>7</xdr:row>
      <xdr:rowOff>93518</xdr:rowOff>
    </xdr:to>
    <xdr:grpSp>
      <xdr:nvGrpSpPr>
        <xdr:cNvPr id="24" name="Group 23">
          <a:extLst>
            <a:ext uri="{FF2B5EF4-FFF2-40B4-BE49-F238E27FC236}">
              <a16:creationId xmlns:a16="http://schemas.microsoft.com/office/drawing/2014/main" id="{C39F0A14-04BC-424C-BA4D-922C112C0F88}"/>
            </a:ext>
          </a:extLst>
        </xdr:cNvPr>
        <xdr:cNvGrpSpPr/>
      </xdr:nvGrpSpPr>
      <xdr:grpSpPr>
        <a:xfrm>
          <a:off x="0" y="144780"/>
          <a:ext cx="10570028" cy="1228898"/>
          <a:chOff x="283029" y="131619"/>
          <a:chExt cx="10570028" cy="1046018"/>
        </a:xfrm>
      </xdr:grpSpPr>
      <xdr:pic>
        <xdr:nvPicPr>
          <xdr:cNvPr id="25" name="Graphic 24" descr="Bar graph with upward trend with solid fill">
            <a:extLst>
              <a:ext uri="{FF2B5EF4-FFF2-40B4-BE49-F238E27FC236}">
                <a16:creationId xmlns:a16="http://schemas.microsoft.com/office/drawing/2014/main" id="{6C235566-7C19-8687-67F0-42EA93EC72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72600" y="174172"/>
            <a:ext cx="1480457" cy="889659"/>
          </a:xfrm>
          <a:prstGeom prst="rect">
            <a:avLst/>
          </a:prstGeom>
        </xdr:spPr>
      </xdr:pic>
      <xdr:grpSp>
        <xdr:nvGrpSpPr>
          <xdr:cNvPr id="26" name="Group 25">
            <a:extLst>
              <a:ext uri="{FF2B5EF4-FFF2-40B4-BE49-F238E27FC236}">
                <a16:creationId xmlns:a16="http://schemas.microsoft.com/office/drawing/2014/main" id="{56B6DEAB-E329-869E-0BFC-A1022621CF10}"/>
              </a:ext>
            </a:extLst>
          </xdr:cNvPr>
          <xdr:cNvGrpSpPr/>
        </xdr:nvGrpSpPr>
        <xdr:grpSpPr>
          <a:xfrm>
            <a:off x="283029" y="131619"/>
            <a:ext cx="8812480" cy="1046018"/>
            <a:chOff x="283029" y="131619"/>
            <a:chExt cx="8812480" cy="1046018"/>
          </a:xfrm>
        </xdr:grpSpPr>
        <xdr:sp macro="" textlink="">
          <xdr:nvSpPr>
            <xdr:cNvPr id="27" name="TextBox 26">
              <a:extLst>
                <a:ext uri="{FF2B5EF4-FFF2-40B4-BE49-F238E27FC236}">
                  <a16:creationId xmlns:a16="http://schemas.microsoft.com/office/drawing/2014/main" id="{3CA93523-DC1F-DE1F-BDBD-B69DDD3BCBA1}"/>
                </a:ext>
              </a:extLst>
            </xdr:cNvPr>
            <xdr:cNvSpPr txBox="1"/>
          </xdr:nvSpPr>
          <xdr:spPr>
            <a:xfrm>
              <a:off x="1197429" y="141514"/>
              <a:ext cx="3189514" cy="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PERSONAL</a:t>
              </a:r>
              <a:r>
                <a:rPr lang="en-IN" sz="2800" b="1" baseline="0">
                  <a:solidFill>
                    <a:schemeClr val="tx1"/>
                  </a:solidFill>
                </a:rPr>
                <a:t> FINANCE</a:t>
              </a:r>
              <a:endParaRPr lang="en-IN" sz="2800" b="1">
                <a:solidFill>
                  <a:schemeClr val="tx1"/>
                </a:solidFill>
              </a:endParaRPr>
            </a:p>
          </xdr:txBody>
        </xdr:sp>
        <xdr:sp macro="" textlink="">
          <xdr:nvSpPr>
            <xdr:cNvPr id="28" name="TextBox 27">
              <a:extLst>
                <a:ext uri="{FF2B5EF4-FFF2-40B4-BE49-F238E27FC236}">
                  <a16:creationId xmlns:a16="http://schemas.microsoft.com/office/drawing/2014/main" id="{3E68194E-9FE6-9FD9-4FAD-B5B7265F15EC}"/>
                </a:ext>
              </a:extLst>
            </xdr:cNvPr>
            <xdr:cNvSpPr txBox="1"/>
          </xdr:nvSpPr>
          <xdr:spPr>
            <a:xfrm>
              <a:off x="1219201" y="512619"/>
              <a:ext cx="3091542" cy="51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400" b="1">
                  <a:solidFill>
                    <a:schemeClr val="tx2">
                      <a:lumMod val="50000"/>
                      <a:lumOff val="50000"/>
                    </a:schemeClr>
                  </a:solidFill>
                </a:rPr>
                <a:t>DASHBOARD</a:t>
              </a:r>
            </a:p>
          </xdr:txBody>
        </xdr:sp>
        <xdr:sp macro="" textlink="">
          <xdr:nvSpPr>
            <xdr:cNvPr id="29" name="TextBox 28">
              <a:extLst>
                <a:ext uri="{FF2B5EF4-FFF2-40B4-BE49-F238E27FC236}">
                  <a16:creationId xmlns:a16="http://schemas.microsoft.com/office/drawing/2014/main" id="{67C08431-10DD-92C5-2C6A-95ED466978D7}"/>
                </a:ext>
              </a:extLst>
            </xdr:cNvPr>
            <xdr:cNvSpPr txBox="1"/>
          </xdr:nvSpPr>
          <xdr:spPr>
            <a:xfrm>
              <a:off x="4381501" y="141514"/>
              <a:ext cx="1624444" cy="93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2">
                      <a:lumMod val="50000"/>
                    </a:schemeClr>
                  </a:solidFill>
                </a:rPr>
                <a:t>TRACK</a:t>
              </a:r>
              <a:r>
                <a:rPr lang="en-IN" sz="1800" b="1" baseline="0">
                  <a:solidFill>
                    <a:schemeClr val="bg2">
                      <a:lumMod val="50000"/>
                    </a:schemeClr>
                  </a:solidFill>
                </a:rPr>
                <a:t>   ANALYSE</a:t>
              </a:r>
            </a:p>
            <a:p>
              <a:pPr algn="l"/>
              <a:r>
                <a:rPr lang="en-IN" sz="1800" b="1" baseline="0">
                  <a:solidFill>
                    <a:schemeClr val="bg2">
                      <a:lumMod val="50000"/>
                    </a:schemeClr>
                  </a:solidFill>
                </a:rPr>
                <a:t>SAVE      GROW</a:t>
              </a:r>
              <a:endParaRPr lang="en-IN" sz="1800" b="1">
                <a:solidFill>
                  <a:schemeClr val="bg2">
                    <a:lumMod val="50000"/>
                  </a:schemeClr>
                </a:solidFill>
              </a:endParaRPr>
            </a:p>
          </xdr:txBody>
        </xdr:sp>
        <xdr:pic>
          <xdr:nvPicPr>
            <xdr:cNvPr id="30" name="Graphic 29" descr="Gauge with solid fill">
              <a:extLst>
                <a:ext uri="{FF2B5EF4-FFF2-40B4-BE49-F238E27FC236}">
                  <a16:creationId xmlns:a16="http://schemas.microsoft.com/office/drawing/2014/main" id="{7A0C47DC-FF51-D678-8305-8CBE857A18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029" y="152400"/>
              <a:ext cx="914400" cy="889659"/>
            </a:xfrm>
            <a:prstGeom prst="rect">
              <a:avLst/>
            </a:prstGeom>
          </xdr:spPr>
        </xdr:pic>
        <xdr:grpSp>
          <xdr:nvGrpSpPr>
            <xdr:cNvPr id="31" name="Group 30">
              <a:extLst>
                <a:ext uri="{FF2B5EF4-FFF2-40B4-BE49-F238E27FC236}">
                  <a16:creationId xmlns:a16="http://schemas.microsoft.com/office/drawing/2014/main" id="{6C2DAC03-EE88-D493-8371-CD36F4FD5BD5}"/>
                </a:ext>
              </a:extLst>
            </xdr:cNvPr>
            <xdr:cNvGrpSpPr/>
          </xdr:nvGrpSpPr>
          <xdr:grpSpPr>
            <a:xfrm>
              <a:off x="5999018" y="131619"/>
              <a:ext cx="3096491" cy="1046018"/>
              <a:chOff x="12443460" y="2160562"/>
              <a:chExt cx="2984109" cy="1277816"/>
            </a:xfrm>
          </xdr:grpSpPr>
          <xdr:pic>
            <xdr:nvPicPr>
              <xdr:cNvPr id="32" name="Graphic 31" descr="Bar graph with upward trend with solid fill">
                <a:extLst>
                  <a:ext uri="{FF2B5EF4-FFF2-40B4-BE49-F238E27FC236}">
                    <a16:creationId xmlns:a16="http://schemas.microsoft.com/office/drawing/2014/main" id="{484574CF-5951-8E82-A47D-C23F197946A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68178" y="2801450"/>
                <a:ext cx="279960" cy="278202"/>
              </a:xfrm>
              <a:prstGeom prst="rect">
                <a:avLst/>
              </a:prstGeom>
            </xdr:spPr>
          </xdr:pic>
          <xdr:pic>
            <xdr:nvPicPr>
              <xdr:cNvPr id="33" name="Graphic 32" descr="Bullseye with solid fill">
                <a:extLst>
                  <a:ext uri="{FF2B5EF4-FFF2-40B4-BE49-F238E27FC236}">
                    <a16:creationId xmlns:a16="http://schemas.microsoft.com/office/drawing/2014/main" id="{3647807B-F504-839D-4224-6DD2DBB0705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95640" y="2794361"/>
                <a:ext cx="279960" cy="278202"/>
              </a:xfrm>
              <a:prstGeom prst="rect">
                <a:avLst/>
              </a:prstGeom>
            </xdr:spPr>
          </xdr:pic>
          <xdr:pic>
            <xdr:nvPicPr>
              <xdr:cNvPr id="34" name="Graphic 33" descr="Database with solid fill">
                <a:extLst>
                  <a:ext uri="{FF2B5EF4-FFF2-40B4-BE49-F238E27FC236}">
                    <a16:creationId xmlns:a16="http://schemas.microsoft.com/office/drawing/2014/main" id="{BDFA7AA7-84E9-E5E5-19D2-A73E639F78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52309" y="2743897"/>
                <a:ext cx="279960" cy="278202"/>
              </a:xfrm>
              <a:prstGeom prst="rect">
                <a:avLst/>
              </a:prstGeom>
            </xdr:spPr>
          </xdr:pic>
          <xdr:pic>
            <xdr:nvPicPr>
              <xdr:cNvPr id="35" name="Graphic 34" descr="Presentation with bar chart with solid fill">
                <a:extLst>
                  <a:ext uri="{FF2B5EF4-FFF2-40B4-BE49-F238E27FC236}">
                    <a16:creationId xmlns:a16="http://schemas.microsoft.com/office/drawing/2014/main" id="{99931998-9216-8D57-CEFC-7526BB9F8F4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59320" y="2789561"/>
                <a:ext cx="279960" cy="278202"/>
              </a:xfrm>
              <a:prstGeom prst="rect">
                <a:avLst/>
              </a:prstGeom>
            </xdr:spPr>
          </xdr:pic>
          <xdr:pic>
            <xdr:nvPicPr>
              <xdr:cNvPr id="36" name="Graphic 35" descr="Arrow circle with solid fill">
                <a:extLst>
                  <a:ext uri="{FF2B5EF4-FFF2-40B4-BE49-F238E27FC236}">
                    <a16:creationId xmlns:a16="http://schemas.microsoft.com/office/drawing/2014/main" id="{19BC7C6F-8C1B-A08B-FC78-B2CCBC3020B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141569" y="2160562"/>
                <a:ext cx="263770" cy="262114"/>
              </a:xfrm>
              <a:prstGeom prst="rect">
                <a:avLst/>
              </a:prstGeom>
            </xdr:spPr>
          </xdr:pic>
          <xdr:pic>
            <xdr:nvPicPr>
              <xdr:cNvPr id="37" name="Graphic 36" descr="Laptop with solid fill">
                <a:extLst>
                  <a:ext uri="{FF2B5EF4-FFF2-40B4-BE49-F238E27FC236}">
                    <a16:creationId xmlns:a16="http://schemas.microsoft.com/office/drawing/2014/main" id="{A5F8E891-D442-06B3-39EB-79A486C4076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03459" y="2189760"/>
                <a:ext cx="279960" cy="278202"/>
              </a:xfrm>
              <a:prstGeom prst="rect">
                <a:avLst/>
              </a:prstGeom>
            </xdr:spPr>
          </xdr:pic>
          <xdr:pic>
            <xdr:nvPicPr>
              <xdr:cNvPr id="38" name="Graphic 37" descr="Lock with solid fill">
                <a:extLst>
                  <a:ext uri="{FF2B5EF4-FFF2-40B4-BE49-F238E27FC236}">
                    <a16:creationId xmlns:a16="http://schemas.microsoft.com/office/drawing/2014/main" id="{8C387601-D14D-EBBC-0B40-67589673445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601842" y="2226473"/>
                <a:ext cx="238796" cy="237916"/>
              </a:xfrm>
              <a:prstGeom prst="rect">
                <a:avLst/>
              </a:prstGeom>
            </xdr:spPr>
          </xdr:pic>
          <xdr:sp macro="[0]!RefreshDashboard" textlink="">
            <xdr:nvSpPr>
              <xdr:cNvPr id="39" name="TextBox 38">
                <a:extLst>
                  <a:ext uri="{FF2B5EF4-FFF2-40B4-BE49-F238E27FC236}">
                    <a16:creationId xmlns:a16="http://schemas.microsoft.com/office/drawing/2014/main" id="{AED57BFF-D361-8970-70E1-87CBC69A9404}"/>
                  </a:ext>
                </a:extLst>
              </xdr:cNvPr>
              <xdr:cNvSpPr txBox="1"/>
            </xdr:nvSpPr>
            <xdr:spPr>
              <a:xfrm>
                <a:off x="12961620" y="2461846"/>
                <a:ext cx="689903" cy="18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Refresh</a:t>
                </a:r>
              </a:p>
            </xdr:txBody>
          </xdr:sp>
          <xdr:sp macro="[0]!ToggleFullScreen" textlink="">
            <xdr:nvSpPr>
              <xdr:cNvPr id="40" name="TextBox 39">
                <a:extLst>
                  <a:ext uri="{FF2B5EF4-FFF2-40B4-BE49-F238E27FC236}">
                    <a16:creationId xmlns:a16="http://schemas.microsoft.com/office/drawing/2014/main" id="{428728E7-4CA2-87DE-061B-1C47028BCB2B}"/>
                  </a:ext>
                </a:extLst>
              </xdr:cNvPr>
              <xdr:cNvSpPr txBox="1"/>
            </xdr:nvSpPr>
            <xdr:spPr>
              <a:xfrm>
                <a:off x="13680830" y="2461846"/>
                <a:ext cx="797169" cy="16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Full Screen</a:t>
                </a:r>
              </a:p>
            </xdr:txBody>
          </xdr:sp>
          <xdr:sp macro="[0]!ToggleProtect" textlink="">
            <xdr:nvSpPr>
              <xdr:cNvPr id="41" name="TextBox 40">
                <a:extLst>
                  <a:ext uri="{FF2B5EF4-FFF2-40B4-BE49-F238E27FC236}">
                    <a16:creationId xmlns:a16="http://schemas.microsoft.com/office/drawing/2014/main" id="{5F9DFEAA-0D28-800B-C642-3D646698B012}"/>
                  </a:ext>
                </a:extLst>
              </xdr:cNvPr>
              <xdr:cNvSpPr txBox="1"/>
            </xdr:nvSpPr>
            <xdr:spPr>
              <a:xfrm>
                <a:off x="14447520" y="2479431"/>
                <a:ext cx="59318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Protect</a:t>
                </a:r>
              </a:p>
            </xdr:txBody>
          </xdr:sp>
          <xdr:sp macro="" textlink="">
            <xdr:nvSpPr>
              <xdr:cNvPr id="42" name="TextBox 41">
                <a:extLst>
                  <a:ext uri="{FF2B5EF4-FFF2-40B4-BE49-F238E27FC236}">
                    <a16:creationId xmlns:a16="http://schemas.microsoft.com/office/drawing/2014/main" id="{2F4A9915-4F92-D52E-4AAB-2C4C8909EF36}"/>
                  </a:ext>
                </a:extLst>
              </xdr:cNvPr>
              <xdr:cNvSpPr txBox="1"/>
            </xdr:nvSpPr>
            <xdr:spPr>
              <a:xfrm>
                <a:off x="14823830" y="3096651"/>
                <a:ext cx="603739" cy="235047"/>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2"/>
                    </a:solidFill>
                  </a:rPr>
                  <a:t>Data</a:t>
                </a:r>
              </a:p>
            </xdr:txBody>
          </xdr:sp>
          <xdr:sp macro="" textlink="">
            <xdr:nvSpPr>
              <xdr:cNvPr id="43" name="TextBox 42">
                <a:hlinkClick xmlns:r="http://schemas.openxmlformats.org/officeDocument/2006/relationships" r:id="rId19"/>
                <a:extLst>
                  <a:ext uri="{FF2B5EF4-FFF2-40B4-BE49-F238E27FC236}">
                    <a16:creationId xmlns:a16="http://schemas.microsoft.com/office/drawing/2014/main" id="{23EA440A-EC9E-480C-C110-C10F0AD6AF54}"/>
                  </a:ext>
                </a:extLst>
              </xdr:cNvPr>
              <xdr:cNvSpPr txBox="1"/>
            </xdr:nvSpPr>
            <xdr:spPr>
              <a:xfrm>
                <a:off x="13997940" y="3044483"/>
                <a:ext cx="726245" cy="3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Financial </a:t>
                </a:r>
                <a:r>
                  <a:rPr lang="en-IN" sz="900" b="1">
                    <a:solidFill>
                      <a:schemeClr val="tx2">
                        <a:lumMod val="90000"/>
                        <a:lumOff val="10000"/>
                      </a:schemeClr>
                    </a:solidFill>
                  </a:rPr>
                  <a:t>Goals</a:t>
                </a:r>
              </a:p>
            </xdr:txBody>
          </xdr:sp>
          <xdr:sp macro="" textlink="">
            <xdr:nvSpPr>
              <xdr:cNvPr id="44" name="TextBox 43">
                <a:hlinkClick xmlns:r="http://schemas.openxmlformats.org/officeDocument/2006/relationships" r:id="rId20"/>
                <a:extLst>
                  <a:ext uri="{FF2B5EF4-FFF2-40B4-BE49-F238E27FC236}">
                    <a16:creationId xmlns:a16="http://schemas.microsoft.com/office/drawing/2014/main" id="{D50BC4C5-3E50-1960-3CBB-81DD16D690B7}"/>
                  </a:ext>
                </a:extLst>
              </xdr:cNvPr>
              <xdr:cNvSpPr txBox="1"/>
            </xdr:nvSpPr>
            <xdr:spPr>
              <a:xfrm>
                <a:off x="13243560" y="311951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Summary</a:t>
                </a:r>
              </a:p>
            </xdr:txBody>
          </xdr:sp>
          <xdr:sp macro="" textlink="">
            <xdr:nvSpPr>
              <xdr:cNvPr id="45" name="TextBox 44">
                <a:hlinkClick xmlns:r="http://schemas.openxmlformats.org/officeDocument/2006/relationships" r:id="rId21"/>
                <a:extLst>
                  <a:ext uri="{FF2B5EF4-FFF2-40B4-BE49-F238E27FC236}">
                    <a16:creationId xmlns:a16="http://schemas.microsoft.com/office/drawing/2014/main" id="{6F8C916B-1F62-5029-ACD3-076445B865A3}"/>
                  </a:ext>
                </a:extLst>
              </xdr:cNvPr>
              <xdr:cNvSpPr txBox="1"/>
            </xdr:nvSpPr>
            <xdr:spPr>
              <a:xfrm>
                <a:off x="12443460" y="309665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Dashboard</a:t>
                </a:r>
              </a:p>
            </xdr:txBody>
          </xdr:sp>
        </xdr:grp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396240</xdr:colOff>
      <xdr:row>1</xdr:row>
      <xdr:rowOff>7619</xdr:rowOff>
    </xdr:from>
    <xdr:to>
      <xdr:col>14</xdr:col>
      <xdr:colOff>62048</xdr:colOff>
      <xdr:row>6</xdr:row>
      <xdr:rowOff>175259</xdr:rowOff>
    </xdr:to>
    <xdr:grpSp>
      <xdr:nvGrpSpPr>
        <xdr:cNvPr id="6" name="Group 5">
          <a:extLst>
            <a:ext uri="{FF2B5EF4-FFF2-40B4-BE49-F238E27FC236}">
              <a16:creationId xmlns:a16="http://schemas.microsoft.com/office/drawing/2014/main" id="{06F3AD5F-5B3C-4FA4-AE5A-A9A1DCD4EF9F}"/>
            </a:ext>
          </a:extLst>
        </xdr:cNvPr>
        <xdr:cNvGrpSpPr/>
      </xdr:nvGrpSpPr>
      <xdr:grpSpPr>
        <a:xfrm>
          <a:off x="396240" y="190499"/>
          <a:ext cx="10570028" cy="1082040"/>
          <a:chOff x="283029" y="131618"/>
          <a:chExt cx="10570028" cy="1082040"/>
        </a:xfrm>
      </xdr:grpSpPr>
      <xdr:pic>
        <xdr:nvPicPr>
          <xdr:cNvPr id="7" name="Graphic 6" descr="Bar graph with upward trend with solid fill">
            <a:extLst>
              <a:ext uri="{FF2B5EF4-FFF2-40B4-BE49-F238E27FC236}">
                <a16:creationId xmlns:a16="http://schemas.microsoft.com/office/drawing/2014/main" id="{29485B20-BF82-193F-CF2D-DB20FA92FD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72600" y="174172"/>
            <a:ext cx="1480457" cy="889659"/>
          </a:xfrm>
          <a:prstGeom prst="rect">
            <a:avLst/>
          </a:prstGeom>
        </xdr:spPr>
      </xdr:pic>
      <xdr:grpSp>
        <xdr:nvGrpSpPr>
          <xdr:cNvPr id="8" name="Group 7">
            <a:extLst>
              <a:ext uri="{FF2B5EF4-FFF2-40B4-BE49-F238E27FC236}">
                <a16:creationId xmlns:a16="http://schemas.microsoft.com/office/drawing/2014/main" id="{54CBDE93-EC45-684F-9803-41B2C4117948}"/>
              </a:ext>
            </a:extLst>
          </xdr:cNvPr>
          <xdr:cNvGrpSpPr/>
        </xdr:nvGrpSpPr>
        <xdr:grpSpPr>
          <a:xfrm>
            <a:off x="283029" y="131618"/>
            <a:ext cx="8812480" cy="1082040"/>
            <a:chOff x="283029" y="131618"/>
            <a:chExt cx="8812480" cy="1082040"/>
          </a:xfrm>
        </xdr:grpSpPr>
        <xdr:sp macro="" textlink="">
          <xdr:nvSpPr>
            <xdr:cNvPr id="9" name="TextBox 8">
              <a:extLst>
                <a:ext uri="{FF2B5EF4-FFF2-40B4-BE49-F238E27FC236}">
                  <a16:creationId xmlns:a16="http://schemas.microsoft.com/office/drawing/2014/main" id="{F38C9965-C6F3-0DB0-BBB3-31D46BE68BCA}"/>
                </a:ext>
              </a:extLst>
            </xdr:cNvPr>
            <xdr:cNvSpPr txBox="1"/>
          </xdr:nvSpPr>
          <xdr:spPr>
            <a:xfrm>
              <a:off x="1197429" y="141514"/>
              <a:ext cx="3189514" cy="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PERSONAL</a:t>
              </a:r>
              <a:r>
                <a:rPr lang="en-IN" sz="2800" b="1" baseline="0">
                  <a:solidFill>
                    <a:schemeClr val="tx1"/>
                  </a:solidFill>
                </a:rPr>
                <a:t> FINANCE</a:t>
              </a:r>
              <a:endParaRPr lang="en-IN" sz="2800" b="1">
                <a:solidFill>
                  <a:schemeClr val="tx1"/>
                </a:solidFill>
              </a:endParaRPr>
            </a:p>
          </xdr:txBody>
        </xdr:sp>
        <xdr:sp macro="" textlink="">
          <xdr:nvSpPr>
            <xdr:cNvPr id="10" name="TextBox 9">
              <a:extLst>
                <a:ext uri="{FF2B5EF4-FFF2-40B4-BE49-F238E27FC236}">
                  <a16:creationId xmlns:a16="http://schemas.microsoft.com/office/drawing/2014/main" id="{80B248FC-3E7E-32C9-A254-E533E7A35E9B}"/>
                </a:ext>
              </a:extLst>
            </xdr:cNvPr>
            <xdr:cNvSpPr txBox="1"/>
          </xdr:nvSpPr>
          <xdr:spPr>
            <a:xfrm>
              <a:off x="1219201" y="512619"/>
              <a:ext cx="3091542" cy="51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400" b="1">
                  <a:solidFill>
                    <a:schemeClr val="tx2">
                      <a:lumMod val="50000"/>
                      <a:lumOff val="50000"/>
                    </a:schemeClr>
                  </a:solidFill>
                </a:rPr>
                <a:t>DASHBOARD</a:t>
              </a:r>
            </a:p>
          </xdr:txBody>
        </xdr:sp>
        <xdr:sp macro="" textlink="">
          <xdr:nvSpPr>
            <xdr:cNvPr id="11" name="TextBox 10">
              <a:extLst>
                <a:ext uri="{FF2B5EF4-FFF2-40B4-BE49-F238E27FC236}">
                  <a16:creationId xmlns:a16="http://schemas.microsoft.com/office/drawing/2014/main" id="{BEAF33E1-F319-D304-0F2D-9A77BC77B6CE}"/>
                </a:ext>
              </a:extLst>
            </xdr:cNvPr>
            <xdr:cNvSpPr txBox="1"/>
          </xdr:nvSpPr>
          <xdr:spPr>
            <a:xfrm>
              <a:off x="4381501" y="141514"/>
              <a:ext cx="1624444" cy="93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2">
                      <a:lumMod val="50000"/>
                    </a:schemeClr>
                  </a:solidFill>
                </a:rPr>
                <a:t>TRACK</a:t>
              </a:r>
              <a:r>
                <a:rPr lang="en-IN" sz="1800" b="1" baseline="0">
                  <a:solidFill>
                    <a:schemeClr val="bg2">
                      <a:lumMod val="50000"/>
                    </a:schemeClr>
                  </a:solidFill>
                </a:rPr>
                <a:t>   ANALYSE</a:t>
              </a:r>
            </a:p>
            <a:p>
              <a:pPr algn="l"/>
              <a:r>
                <a:rPr lang="en-IN" sz="1800" b="1" baseline="0">
                  <a:solidFill>
                    <a:schemeClr val="bg2">
                      <a:lumMod val="50000"/>
                    </a:schemeClr>
                  </a:solidFill>
                </a:rPr>
                <a:t>SAVE      GROW</a:t>
              </a:r>
              <a:endParaRPr lang="en-IN" sz="1800" b="1">
                <a:solidFill>
                  <a:schemeClr val="bg2">
                    <a:lumMod val="50000"/>
                  </a:schemeClr>
                </a:solidFill>
              </a:endParaRPr>
            </a:p>
          </xdr:txBody>
        </xdr:sp>
        <xdr:pic>
          <xdr:nvPicPr>
            <xdr:cNvPr id="12" name="Graphic 11" descr="Gauge with solid fill">
              <a:extLst>
                <a:ext uri="{FF2B5EF4-FFF2-40B4-BE49-F238E27FC236}">
                  <a16:creationId xmlns:a16="http://schemas.microsoft.com/office/drawing/2014/main" id="{F6E0AC94-98CD-7495-B24C-361EB48EC2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029" y="152400"/>
              <a:ext cx="914400" cy="889659"/>
            </a:xfrm>
            <a:prstGeom prst="rect">
              <a:avLst/>
            </a:prstGeom>
          </xdr:spPr>
        </xdr:pic>
        <xdr:grpSp>
          <xdr:nvGrpSpPr>
            <xdr:cNvPr id="13" name="Group 12">
              <a:extLst>
                <a:ext uri="{FF2B5EF4-FFF2-40B4-BE49-F238E27FC236}">
                  <a16:creationId xmlns:a16="http://schemas.microsoft.com/office/drawing/2014/main" id="{E690F510-DC7C-313D-6115-45F9C08723D7}"/>
                </a:ext>
              </a:extLst>
            </xdr:cNvPr>
            <xdr:cNvGrpSpPr/>
          </xdr:nvGrpSpPr>
          <xdr:grpSpPr>
            <a:xfrm>
              <a:off x="5999018" y="131618"/>
              <a:ext cx="3096491" cy="1082040"/>
              <a:chOff x="12443460" y="2160562"/>
              <a:chExt cx="2984109" cy="1321821"/>
            </a:xfrm>
          </xdr:grpSpPr>
          <xdr:pic>
            <xdr:nvPicPr>
              <xdr:cNvPr id="14" name="Graphic 13" descr="Bar graph with upward trend with solid fill">
                <a:extLst>
                  <a:ext uri="{FF2B5EF4-FFF2-40B4-BE49-F238E27FC236}">
                    <a16:creationId xmlns:a16="http://schemas.microsoft.com/office/drawing/2014/main" id="{5EAC7FDC-36C3-F4D7-E560-1186C2D417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68178" y="2801450"/>
                <a:ext cx="279960" cy="278202"/>
              </a:xfrm>
              <a:prstGeom prst="rect">
                <a:avLst/>
              </a:prstGeom>
            </xdr:spPr>
          </xdr:pic>
          <xdr:pic>
            <xdr:nvPicPr>
              <xdr:cNvPr id="15" name="Graphic 14" descr="Bullseye with solid fill">
                <a:extLst>
                  <a:ext uri="{FF2B5EF4-FFF2-40B4-BE49-F238E27FC236}">
                    <a16:creationId xmlns:a16="http://schemas.microsoft.com/office/drawing/2014/main" id="{FEECBA9D-6019-90D6-4931-4136D115CD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95640" y="2794361"/>
                <a:ext cx="279960" cy="278202"/>
              </a:xfrm>
              <a:prstGeom prst="rect">
                <a:avLst/>
              </a:prstGeom>
            </xdr:spPr>
          </xdr:pic>
          <xdr:pic>
            <xdr:nvPicPr>
              <xdr:cNvPr id="16" name="Graphic 15" descr="Database with solid fill">
                <a:extLst>
                  <a:ext uri="{FF2B5EF4-FFF2-40B4-BE49-F238E27FC236}">
                    <a16:creationId xmlns:a16="http://schemas.microsoft.com/office/drawing/2014/main" id="{1604C7E6-71B2-7550-DC9D-FCF03502D3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52309" y="2743897"/>
                <a:ext cx="279960" cy="278202"/>
              </a:xfrm>
              <a:prstGeom prst="rect">
                <a:avLst/>
              </a:prstGeom>
            </xdr:spPr>
          </xdr:pic>
          <xdr:pic>
            <xdr:nvPicPr>
              <xdr:cNvPr id="17" name="Graphic 16" descr="Presentation with bar chart with solid fill">
                <a:extLst>
                  <a:ext uri="{FF2B5EF4-FFF2-40B4-BE49-F238E27FC236}">
                    <a16:creationId xmlns:a16="http://schemas.microsoft.com/office/drawing/2014/main" id="{4B8D643D-680B-96B8-432E-D94948D550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59320" y="2789561"/>
                <a:ext cx="279960" cy="278202"/>
              </a:xfrm>
              <a:prstGeom prst="rect">
                <a:avLst/>
              </a:prstGeom>
            </xdr:spPr>
          </xdr:pic>
          <xdr:pic>
            <xdr:nvPicPr>
              <xdr:cNvPr id="18" name="Graphic 17" descr="Arrow circle with solid fill">
                <a:extLst>
                  <a:ext uri="{FF2B5EF4-FFF2-40B4-BE49-F238E27FC236}">
                    <a16:creationId xmlns:a16="http://schemas.microsoft.com/office/drawing/2014/main" id="{E0267EA7-7FAC-0C4A-2DF1-4B1C279BBD2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141569" y="2160562"/>
                <a:ext cx="263770" cy="262114"/>
              </a:xfrm>
              <a:prstGeom prst="rect">
                <a:avLst/>
              </a:prstGeom>
            </xdr:spPr>
          </xdr:pic>
          <xdr:pic>
            <xdr:nvPicPr>
              <xdr:cNvPr id="19" name="Graphic 18" descr="Laptop with solid fill">
                <a:extLst>
                  <a:ext uri="{FF2B5EF4-FFF2-40B4-BE49-F238E27FC236}">
                    <a16:creationId xmlns:a16="http://schemas.microsoft.com/office/drawing/2014/main" id="{3C5922D7-CBAD-8848-CA87-EB915E37466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03459" y="2189760"/>
                <a:ext cx="279960" cy="278202"/>
              </a:xfrm>
              <a:prstGeom prst="rect">
                <a:avLst/>
              </a:prstGeom>
            </xdr:spPr>
          </xdr:pic>
          <xdr:pic>
            <xdr:nvPicPr>
              <xdr:cNvPr id="20" name="Graphic 19" descr="Lock with solid fill">
                <a:extLst>
                  <a:ext uri="{FF2B5EF4-FFF2-40B4-BE49-F238E27FC236}">
                    <a16:creationId xmlns:a16="http://schemas.microsoft.com/office/drawing/2014/main" id="{4F990A2E-D036-A666-8459-D09F0913E17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601842" y="2226473"/>
                <a:ext cx="238796" cy="237916"/>
              </a:xfrm>
              <a:prstGeom prst="rect">
                <a:avLst/>
              </a:prstGeom>
            </xdr:spPr>
          </xdr:pic>
          <xdr:sp macro="[0]!RefreshDashboard" textlink="">
            <xdr:nvSpPr>
              <xdr:cNvPr id="21" name="TextBox 20">
                <a:extLst>
                  <a:ext uri="{FF2B5EF4-FFF2-40B4-BE49-F238E27FC236}">
                    <a16:creationId xmlns:a16="http://schemas.microsoft.com/office/drawing/2014/main" id="{14CB79DF-48A1-6635-E057-99296572A2C4}"/>
                  </a:ext>
                </a:extLst>
              </xdr:cNvPr>
              <xdr:cNvSpPr txBox="1"/>
            </xdr:nvSpPr>
            <xdr:spPr>
              <a:xfrm>
                <a:off x="12961620" y="2461846"/>
                <a:ext cx="689903" cy="18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Refresh</a:t>
                </a:r>
              </a:p>
            </xdr:txBody>
          </xdr:sp>
          <xdr:sp macro="[0]!ToggleFullScreen" textlink="">
            <xdr:nvSpPr>
              <xdr:cNvPr id="22" name="TextBox 21">
                <a:extLst>
                  <a:ext uri="{FF2B5EF4-FFF2-40B4-BE49-F238E27FC236}">
                    <a16:creationId xmlns:a16="http://schemas.microsoft.com/office/drawing/2014/main" id="{DD7527C5-FA5E-17DC-F1AE-5589E366EE1A}"/>
                  </a:ext>
                </a:extLst>
              </xdr:cNvPr>
              <xdr:cNvSpPr txBox="1"/>
            </xdr:nvSpPr>
            <xdr:spPr>
              <a:xfrm>
                <a:off x="13680830" y="2461846"/>
                <a:ext cx="797169" cy="16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Full Screen</a:t>
                </a:r>
              </a:p>
            </xdr:txBody>
          </xdr:sp>
          <xdr:sp macro="[0]!ToggleProtect" textlink="">
            <xdr:nvSpPr>
              <xdr:cNvPr id="23" name="TextBox 22">
                <a:extLst>
                  <a:ext uri="{FF2B5EF4-FFF2-40B4-BE49-F238E27FC236}">
                    <a16:creationId xmlns:a16="http://schemas.microsoft.com/office/drawing/2014/main" id="{C7D3F714-4F17-32C6-E048-ADAC529A8F35}"/>
                  </a:ext>
                </a:extLst>
              </xdr:cNvPr>
              <xdr:cNvSpPr txBox="1"/>
            </xdr:nvSpPr>
            <xdr:spPr>
              <a:xfrm>
                <a:off x="14447520" y="2479431"/>
                <a:ext cx="59318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Protect</a:t>
                </a:r>
              </a:p>
            </xdr:txBody>
          </xdr:sp>
          <xdr:sp macro="" textlink="">
            <xdr:nvSpPr>
              <xdr:cNvPr id="24" name="TextBox 23">
                <a:hlinkClick xmlns:r="http://schemas.openxmlformats.org/officeDocument/2006/relationships" r:id="rId19"/>
                <a:extLst>
                  <a:ext uri="{FF2B5EF4-FFF2-40B4-BE49-F238E27FC236}">
                    <a16:creationId xmlns:a16="http://schemas.microsoft.com/office/drawing/2014/main" id="{E75921F8-5674-76FF-745F-6E997EBF0EE9}"/>
                  </a:ext>
                </a:extLst>
              </xdr:cNvPr>
              <xdr:cNvSpPr txBox="1"/>
            </xdr:nvSpPr>
            <xdr:spPr>
              <a:xfrm>
                <a:off x="14823830" y="3096651"/>
                <a:ext cx="603739"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Data</a:t>
                </a:r>
              </a:p>
            </xdr:txBody>
          </xdr:sp>
          <xdr:sp macro="" textlink="">
            <xdr:nvSpPr>
              <xdr:cNvPr id="25" name="TextBox 24">
                <a:extLst>
                  <a:ext uri="{FF2B5EF4-FFF2-40B4-BE49-F238E27FC236}">
                    <a16:creationId xmlns:a16="http://schemas.microsoft.com/office/drawing/2014/main" id="{1A7DDB76-83F8-EB84-68EA-1B0703E7144D}"/>
                  </a:ext>
                </a:extLst>
              </xdr:cNvPr>
              <xdr:cNvSpPr txBox="1"/>
            </xdr:nvSpPr>
            <xdr:spPr>
              <a:xfrm>
                <a:off x="13911197" y="3044483"/>
                <a:ext cx="844496" cy="437900"/>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2"/>
                    </a:solidFill>
                  </a:rPr>
                  <a:t>Financial</a:t>
                </a:r>
                <a:r>
                  <a:rPr lang="en-IN" sz="1000" b="1">
                    <a:solidFill>
                      <a:schemeClr val="tx2">
                        <a:lumMod val="90000"/>
                        <a:lumOff val="10000"/>
                      </a:schemeClr>
                    </a:solidFill>
                  </a:rPr>
                  <a:t> </a:t>
                </a:r>
                <a:r>
                  <a:rPr lang="en-IN" sz="900" b="1">
                    <a:solidFill>
                      <a:schemeClr val="tx2">
                        <a:lumMod val="90000"/>
                        <a:lumOff val="10000"/>
                      </a:schemeClr>
                    </a:solidFill>
                  </a:rPr>
                  <a:t>Goals</a:t>
                </a:r>
              </a:p>
            </xdr:txBody>
          </xdr:sp>
          <xdr:sp macro="" textlink="">
            <xdr:nvSpPr>
              <xdr:cNvPr id="26" name="TextBox 25">
                <a:hlinkClick xmlns:r="http://schemas.openxmlformats.org/officeDocument/2006/relationships" r:id="rId20"/>
                <a:extLst>
                  <a:ext uri="{FF2B5EF4-FFF2-40B4-BE49-F238E27FC236}">
                    <a16:creationId xmlns:a16="http://schemas.microsoft.com/office/drawing/2014/main" id="{7C572474-FD9A-57B1-971D-B238D481576C}"/>
                  </a:ext>
                </a:extLst>
              </xdr:cNvPr>
              <xdr:cNvSpPr txBox="1"/>
            </xdr:nvSpPr>
            <xdr:spPr>
              <a:xfrm>
                <a:off x="13243560" y="311951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Summary</a:t>
                </a:r>
              </a:p>
            </xdr:txBody>
          </xdr:sp>
          <xdr:sp macro="" textlink="">
            <xdr:nvSpPr>
              <xdr:cNvPr id="27" name="TextBox 26">
                <a:hlinkClick xmlns:r="http://schemas.openxmlformats.org/officeDocument/2006/relationships" r:id="rId21"/>
                <a:extLst>
                  <a:ext uri="{FF2B5EF4-FFF2-40B4-BE49-F238E27FC236}">
                    <a16:creationId xmlns:a16="http://schemas.microsoft.com/office/drawing/2014/main" id="{9F5C8D71-343F-23EB-1373-DD7C9FCF74C4}"/>
                  </a:ext>
                </a:extLst>
              </xdr:cNvPr>
              <xdr:cNvSpPr txBox="1"/>
            </xdr:nvSpPr>
            <xdr:spPr>
              <a:xfrm>
                <a:off x="12443460" y="309665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Dashboard</a:t>
                </a:r>
              </a:p>
            </xdr:txBody>
          </xdr:sp>
        </xdr:grpSp>
      </xdr:grpSp>
    </xdr:grpSp>
    <xdr:clientData/>
  </xdr:twoCellAnchor>
  <xdr:twoCellAnchor>
    <xdr:from>
      <xdr:col>0</xdr:col>
      <xdr:colOff>480060</xdr:colOff>
      <xdr:row>22</xdr:row>
      <xdr:rowOff>102870</xdr:rowOff>
    </xdr:from>
    <xdr:to>
      <xdr:col>4</xdr:col>
      <xdr:colOff>518160</xdr:colOff>
      <xdr:row>31</xdr:row>
      <xdr:rowOff>175260</xdr:rowOff>
    </xdr:to>
    <xdr:graphicFrame macro="">
      <xdr:nvGraphicFramePr>
        <xdr:cNvPr id="30" name="Chart 29">
          <a:extLst>
            <a:ext uri="{FF2B5EF4-FFF2-40B4-BE49-F238E27FC236}">
              <a16:creationId xmlns:a16="http://schemas.microsoft.com/office/drawing/2014/main" id="{09942900-A8BF-2DF8-0A9C-79A337E2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647700</xdr:colOff>
      <xdr:row>22</xdr:row>
      <xdr:rowOff>68580</xdr:rowOff>
    </xdr:from>
    <xdr:to>
      <xdr:col>8</xdr:col>
      <xdr:colOff>586740</xdr:colOff>
      <xdr:row>32</xdr:row>
      <xdr:rowOff>152400</xdr:rowOff>
    </xdr:to>
    <xdr:graphicFrame macro="">
      <xdr:nvGraphicFramePr>
        <xdr:cNvPr id="31" name="Chart 30">
          <a:extLst>
            <a:ext uri="{FF2B5EF4-FFF2-40B4-BE49-F238E27FC236}">
              <a16:creationId xmlns:a16="http://schemas.microsoft.com/office/drawing/2014/main" id="{DEDF9276-5752-788A-2E0B-7DF24C378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563880</xdr:colOff>
      <xdr:row>0</xdr:row>
      <xdr:rowOff>144780</xdr:rowOff>
    </xdr:from>
    <xdr:to>
      <xdr:col>20</xdr:col>
      <xdr:colOff>557348</xdr:colOff>
      <xdr:row>6</xdr:row>
      <xdr:rowOff>93518</xdr:rowOff>
    </xdr:to>
    <xdr:grpSp>
      <xdr:nvGrpSpPr>
        <xdr:cNvPr id="14" name="Group 13">
          <a:extLst>
            <a:ext uri="{FF2B5EF4-FFF2-40B4-BE49-F238E27FC236}">
              <a16:creationId xmlns:a16="http://schemas.microsoft.com/office/drawing/2014/main" id="{E13B3397-CA7E-404B-BF27-63E12CC1101A}"/>
            </a:ext>
          </a:extLst>
        </xdr:cNvPr>
        <xdr:cNvGrpSpPr/>
      </xdr:nvGrpSpPr>
      <xdr:grpSpPr>
        <a:xfrm>
          <a:off x="563880" y="144780"/>
          <a:ext cx="10570028" cy="1046018"/>
          <a:chOff x="283029" y="131619"/>
          <a:chExt cx="10570028" cy="1046018"/>
        </a:xfrm>
      </xdr:grpSpPr>
      <xdr:pic>
        <xdr:nvPicPr>
          <xdr:cNvPr id="15" name="Graphic 14" descr="Bar graph with upward trend with solid fill">
            <a:extLst>
              <a:ext uri="{FF2B5EF4-FFF2-40B4-BE49-F238E27FC236}">
                <a16:creationId xmlns:a16="http://schemas.microsoft.com/office/drawing/2014/main" id="{D282E7C9-504E-3489-2F4E-2F8300084E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72600" y="174172"/>
            <a:ext cx="1480457" cy="889659"/>
          </a:xfrm>
          <a:prstGeom prst="rect">
            <a:avLst/>
          </a:prstGeom>
        </xdr:spPr>
      </xdr:pic>
      <xdr:grpSp>
        <xdr:nvGrpSpPr>
          <xdr:cNvPr id="16" name="Group 15">
            <a:extLst>
              <a:ext uri="{FF2B5EF4-FFF2-40B4-BE49-F238E27FC236}">
                <a16:creationId xmlns:a16="http://schemas.microsoft.com/office/drawing/2014/main" id="{59D88492-5F5F-4B77-9406-2FA37BDEABAE}"/>
              </a:ext>
            </a:extLst>
          </xdr:cNvPr>
          <xdr:cNvGrpSpPr/>
        </xdr:nvGrpSpPr>
        <xdr:grpSpPr>
          <a:xfrm>
            <a:off x="283029" y="131619"/>
            <a:ext cx="8812480" cy="1046018"/>
            <a:chOff x="283029" y="131619"/>
            <a:chExt cx="8812480" cy="1046018"/>
          </a:xfrm>
        </xdr:grpSpPr>
        <xdr:sp macro="" textlink="">
          <xdr:nvSpPr>
            <xdr:cNvPr id="17" name="TextBox 16">
              <a:extLst>
                <a:ext uri="{FF2B5EF4-FFF2-40B4-BE49-F238E27FC236}">
                  <a16:creationId xmlns:a16="http://schemas.microsoft.com/office/drawing/2014/main" id="{76FBF4EF-9583-8170-7EEF-CBC79A41DFC1}"/>
                </a:ext>
              </a:extLst>
            </xdr:cNvPr>
            <xdr:cNvSpPr txBox="1"/>
          </xdr:nvSpPr>
          <xdr:spPr>
            <a:xfrm>
              <a:off x="1197429" y="141514"/>
              <a:ext cx="3189514" cy="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PERSONAL</a:t>
              </a:r>
              <a:r>
                <a:rPr lang="en-IN" sz="2800" b="1" baseline="0">
                  <a:solidFill>
                    <a:schemeClr val="tx1"/>
                  </a:solidFill>
                </a:rPr>
                <a:t> FINANCE</a:t>
              </a:r>
              <a:endParaRPr lang="en-IN" sz="2800" b="1">
                <a:solidFill>
                  <a:schemeClr val="tx1"/>
                </a:solidFill>
              </a:endParaRPr>
            </a:p>
          </xdr:txBody>
        </xdr:sp>
        <xdr:sp macro="" textlink="">
          <xdr:nvSpPr>
            <xdr:cNvPr id="18" name="TextBox 17">
              <a:extLst>
                <a:ext uri="{FF2B5EF4-FFF2-40B4-BE49-F238E27FC236}">
                  <a16:creationId xmlns:a16="http://schemas.microsoft.com/office/drawing/2014/main" id="{A3F31E02-320E-4CA7-0690-FB66C0696BCD}"/>
                </a:ext>
              </a:extLst>
            </xdr:cNvPr>
            <xdr:cNvSpPr txBox="1"/>
          </xdr:nvSpPr>
          <xdr:spPr>
            <a:xfrm>
              <a:off x="1219201" y="512619"/>
              <a:ext cx="3091542" cy="51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400" b="1">
                  <a:solidFill>
                    <a:schemeClr val="tx2">
                      <a:lumMod val="50000"/>
                      <a:lumOff val="50000"/>
                    </a:schemeClr>
                  </a:solidFill>
                </a:rPr>
                <a:t>DASHBOARD</a:t>
              </a:r>
            </a:p>
          </xdr:txBody>
        </xdr:sp>
        <xdr:sp macro="" textlink="">
          <xdr:nvSpPr>
            <xdr:cNvPr id="19" name="TextBox 18">
              <a:extLst>
                <a:ext uri="{FF2B5EF4-FFF2-40B4-BE49-F238E27FC236}">
                  <a16:creationId xmlns:a16="http://schemas.microsoft.com/office/drawing/2014/main" id="{DB4853E0-E56D-952F-8C0B-CAEE67B19D30}"/>
                </a:ext>
              </a:extLst>
            </xdr:cNvPr>
            <xdr:cNvSpPr txBox="1"/>
          </xdr:nvSpPr>
          <xdr:spPr>
            <a:xfrm>
              <a:off x="4381501" y="141514"/>
              <a:ext cx="1624444" cy="93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2">
                      <a:lumMod val="50000"/>
                    </a:schemeClr>
                  </a:solidFill>
                </a:rPr>
                <a:t>TRACK</a:t>
              </a:r>
              <a:r>
                <a:rPr lang="en-IN" sz="1800" b="1" baseline="0">
                  <a:solidFill>
                    <a:schemeClr val="bg2">
                      <a:lumMod val="50000"/>
                    </a:schemeClr>
                  </a:solidFill>
                </a:rPr>
                <a:t>   ANALYSE</a:t>
              </a:r>
            </a:p>
            <a:p>
              <a:pPr algn="l"/>
              <a:r>
                <a:rPr lang="en-IN" sz="1800" b="1" baseline="0">
                  <a:solidFill>
                    <a:schemeClr val="bg2">
                      <a:lumMod val="50000"/>
                    </a:schemeClr>
                  </a:solidFill>
                </a:rPr>
                <a:t>SAVE      GROW</a:t>
              </a:r>
              <a:endParaRPr lang="en-IN" sz="1800" b="1">
                <a:solidFill>
                  <a:schemeClr val="bg2">
                    <a:lumMod val="50000"/>
                  </a:schemeClr>
                </a:solidFill>
              </a:endParaRPr>
            </a:p>
          </xdr:txBody>
        </xdr:sp>
        <xdr:pic>
          <xdr:nvPicPr>
            <xdr:cNvPr id="20" name="Graphic 19" descr="Gauge with solid fill">
              <a:extLst>
                <a:ext uri="{FF2B5EF4-FFF2-40B4-BE49-F238E27FC236}">
                  <a16:creationId xmlns:a16="http://schemas.microsoft.com/office/drawing/2014/main" id="{E58F513A-AB06-A6E2-5340-9B2CC0FFAF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3029" y="152400"/>
              <a:ext cx="914400" cy="889659"/>
            </a:xfrm>
            <a:prstGeom prst="rect">
              <a:avLst/>
            </a:prstGeom>
          </xdr:spPr>
        </xdr:pic>
        <xdr:grpSp>
          <xdr:nvGrpSpPr>
            <xdr:cNvPr id="21" name="Group 20">
              <a:extLst>
                <a:ext uri="{FF2B5EF4-FFF2-40B4-BE49-F238E27FC236}">
                  <a16:creationId xmlns:a16="http://schemas.microsoft.com/office/drawing/2014/main" id="{B2BFD5BD-8520-CACB-1FFD-13C827FAE553}"/>
                </a:ext>
              </a:extLst>
            </xdr:cNvPr>
            <xdr:cNvGrpSpPr/>
          </xdr:nvGrpSpPr>
          <xdr:grpSpPr>
            <a:xfrm>
              <a:off x="5999018" y="131619"/>
              <a:ext cx="3096491" cy="1046018"/>
              <a:chOff x="12443460" y="2160562"/>
              <a:chExt cx="2984109" cy="1277816"/>
            </a:xfrm>
          </xdr:grpSpPr>
          <xdr:pic>
            <xdr:nvPicPr>
              <xdr:cNvPr id="22" name="Graphic 21" descr="Bar graph with upward trend with solid fill">
                <a:extLst>
                  <a:ext uri="{FF2B5EF4-FFF2-40B4-BE49-F238E27FC236}">
                    <a16:creationId xmlns:a16="http://schemas.microsoft.com/office/drawing/2014/main" id="{28ADCCFB-BC66-45C3-3CA1-44D1577973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68178" y="2801450"/>
                <a:ext cx="279960" cy="278202"/>
              </a:xfrm>
              <a:prstGeom prst="rect">
                <a:avLst/>
              </a:prstGeom>
            </xdr:spPr>
          </xdr:pic>
          <xdr:pic>
            <xdr:nvPicPr>
              <xdr:cNvPr id="23" name="Graphic 22" descr="Bullseye with solid fill">
                <a:extLst>
                  <a:ext uri="{FF2B5EF4-FFF2-40B4-BE49-F238E27FC236}">
                    <a16:creationId xmlns:a16="http://schemas.microsoft.com/office/drawing/2014/main" id="{1F32FE6B-74D3-2E0F-C856-6BB1848481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95640" y="2794361"/>
                <a:ext cx="279960" cy="278202"/>
              </a:xfrm>
              <a:prstGeom prst="rect">
                <a:avLst/>
              </a:prstGeom>
            </xdr:spPr>
          </xdr:pic>
          <xdr:pic>
            <xdr:nvPicPr>
              <xdr:cNvPr id="24" name="Graphic 23" descr="Database with solid fill">
                <a:extLst>
                  <a:ext uri="{FF2B5EF4-FFF2-40B4-BE49-F238E27FC236}">
                    <a16:creationId xmlns:a16="http://schemas.microsoft.com/office/drawing/2014/main" id="{8E9555D9-829B-C834-9736-BEBC13ED8A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52309" y="2743897"/>
                <a:ext cx="279960" cy="278202"/>
              </a:xfrm>
              <a:prstGeom prst="rect">
                <a:avLst/>
              </a:prstGeom>
            </xdr:spPr>
          </xdr:pic>
          <xdr:pic>
            <xdr:nvPicPr>
              <xdr:cNvPr id="25" name="Graphic 24" descr="Presentation with bar chart with solid fill">
                <a:extLst>
                  <a:ext uri="{FF2B5EF4-FFF2-40B4-BE49-F238E27FC236}">
                    <a16:creationId xmlns:a16="http://schemas.microsoft.com/office/drawing/2014/main" id="{7D04E947-A08A-A17F-CBE0-2608892B74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59320" y="2789561"/>
                <a:ext cx="279960" cy="278202"/>
              </a:xfrm>
              <a:prstGeom prst="rect">
                <a:avLst/>
              </a:prstGeom>
            </xdr:spPr>
          </xdr:pic>
          <xdr:pic>
            <xdr:nvPicPr>
              <xdr:cNvPr id="26" name="Graphic 25" descr="Arrow circle with solid fill">
                <a:extLst>
                  <a:ext uri="{FF2B5EF4-FFF2-40B4-BE49-F238E27FC236}">
                    <a16:creationId xmlns:a16="http://schemas.microsoft.com/office/drawing/2014/main" id="{94D65A22-42A3-8091-3683-2E6D9FB277E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141569" y="2160562"/>
                <a:ext cx="263770" cy="262114"/>
              </a:xfrm>
              <a:prstGeom prst="rect">
                <a:avLst/>
              </a:prstGeom>
            </xdr:spPr>
          </xdr:pic>
          <xdr:pic>
            <xdr:nvPicPr>
              <xdr:cNvPr id="27" name="Graphic 26" descr="Laptop with solid fill">
                <a:extLst>
                  <a:ext uri="{FF2B5EF4-FFF2-40B4-BE49-F238E27FC236}">
                    <a16:creationId xmlns:a16="http://schemas.microsoft.com/office/drawing/2014/main" id="{FC36D62A-1088-33D3-2E82-C8BFE00EB5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903459" y="2189760"/>
                <a:ext cx="279960" cy="278202"/>
              </a:xfrm>
              <a:prstGeom prst="rect">
                <a:avLst/>
              </a:prstGeom>
            </xdr:spPr>
          </xdr:pic>
          <xdr:pic>
            <xdr:nvPicPr>
              <xdr:cNvPr id="28" name="Graphic 27" descr="Lock with solid fill">
                <a:extLst>
                  <a:ext uri="{FF2B5EF4-FFF2-40B4-BE49-F238E27FC236}">
                    <a16:creationId xmlns:a16="http://schemas.microsoft.com/office/drawing/2014/main" id="{07015B66-5C83-CA35-DA34-9F6EDDFA06F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601842" y="2226473"/>
                <a:ext cx="238796" cy="237916"/>
              </a:xfrm>
              <a:prstGeom prst="rect">
                <a:avLst/>
              </a:prstGeom>
            </xdr:spPr>
          </xdr:pic>
          <xdr:sp macro="[0]!RefreshDashboard" textlink="">
            <xdr:nvSpPr>
              <xdr:cNvPr id="29" name="TextBox 28">
                <a:extLst>
                  <a:ext uri="{FF2B5EF4-FFF2-40B4-BE49-F238E27FC236}">
                    <a16:creationId xmlns:a16="http://schemas.microsoft.com/office/drawing/2014/main" id="{A9FB1CCB-738D-037E-F7D9-61F448858FBB}"/>
                  </a:ext>
                </a:extLst>
              </xdr:cNvPr>
              <xdr:cNvSpPr txBox="1"/>
            </xdr:nvSpPr>
            <xdr:spPr>
              <a:xfrm>
                <a:off x="12961620" y="2461846"/>
                <a:ext cx="689903" cy="18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Refresh</a:t>
                </a:r>
              </a:p>
            </xdr:txBody>
          </xdr:sp>
          <xdr:sp macro="[0]!ToggleFullScreen" textlink="">
            <xdr:nvSpPr>
              <xdr:cNvPr id="30" name="TextBox 29">
                <a:extLst>
                  <a:ext uri="{FF2B5EF4-FFF2-40B4-BE49-F238E27FC236}">
                    <a16:creationId xmlns:a16="http://schemas.microsoft.com/office/drawing/2014/main" id="{0E07DDDF-A51B-EA40-1A10-1BC68C10CF27}"/>
                  </a:ext>
                </a:extLst>
              </xdr:cNvPr>
              <xdr:cNvSpPr txBox="1"/>
            </xdr:nvSpPr>
            <xdr:spPr>
              <a:xfrm>
                <a:off x="13680830" y="2461846"/>
                <a:ext cx="797169" cy="16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Full Screen</a:t>
                </a:r>
              </a:p>
            </xdr:txBody>
          </xdr:sp>
          <xdr:sp macro="[0]!ToggleProtect" textlink="">
            <xdr:nvSpPr>
              <xdr:cNvPr id="31" name="TextBox 30">
                <a:extLst>
                  <a:ext uri="{FF2B5EF4-FFF2-40B4-BE49-F238E27FC236}">
                    <a16:creationId xmlns:a16="http://schemas.microsoft.com/office/drawing/2014/main" id="{40493C4E-F4DD-A7B9-5033-E7007D0C1921}"/>
                  </a:ext>
                </a:extLst>
              </xdr:cNvPr>
              <xdr:cNvSpPr txBox="1"/>
            </xdr:nvSpPr>
            <xdr:spPr>
              <a:xfrm>
                <a:off x="14447520" y="2479431"/>
                <a:ext cx="59318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Protect</a:t>
                </a:r>
              </a:p>
            </xdr:txBody>
          </xdr:sp>
          <xdr:sp macro="" textlink="">
            <xdr:nvSpPr>
              <xdr:cNvPr id="32" name="TextBox 31">
                <a:hlinkClick xmlns:r="http://schemas.openxmlformats.org/officeDocument/2006/relationships" r:id="rId19"/>
                <a:extLst>
                  <a:ext uri="{FF2B5EF4-FFF2-40B4-BE49-F238E27FC236}">
                    <a16:creationId xmlns:a16="http://schemas.microsoft.com/office/drawing/2014/main" id="{755B4040-A44E-D202-1026-9FF4FD1843B4}"/>
                  </a:ext>
                </a:extLst>
              </xdr:cNvPr>
              <xdr:cNvSpPr txBox="1"/>
            </xdr:nvSpPr>
            <xdr:spPr>
              <a:xfrm>
                <a:off x="14823830" y="3096651"/>
                <a:ext cx="603739"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Data</a:t>
                </a:r>
              </a:p>
            </xdr:txBody>
          </xdr:sp>
          <xdr:sp macro="" textlink="">
            <xdr:nvSpPr>
              <xdr:cNvPr id="33" name="TextBox 32">
                <a:hlinkClick xmlns:r="http://schemas.openxmlformats.org/officeDocument/2006/relationships" r:id="rId20"/>
                <a:extLst>
                  <a:ext uri="{FF2B5EF4-FFF2-40B4-BE49-F238E27FC236}">
                    <a16:creationId xmlns:a16="http://schemas.microsoft.com/office/drawing/2014/main" id="{A5BA3385-1D14-C0FA-6840-EB40A5403FE5}"/>
                  </a:ext>
                </a:extLst>
              </xdr:cNvPr>
              <xdr:cNvSpPr txBox="1"/>
            </xdr:nvSpPr>
            <xdr:spPr>
              <a:xfrm>
                <a:off x="13997940" y="3044483"/>
                <a:ext cx="726245" cy="3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Financial </a:t>
                </a:r>
                <a:r>
                  <a:rPr lang="en-IN" sz="900" b="1">
                    <a:solidFill>
                      <a:schemeClr val="tx2">
                        <a:lumMod val="90000"/>
                        <a:lumOff val="10000"/>
                      </a:schemeClr>
                    </a:solidFill>
                  </a:rPr>
                  <a:t>Goals</a:t>
                </a:r>
              </a:p>
            </xdr:txBody>
          </xdr:sp>
          <xdr:sp macro="" textlink="">
            <xdr:nvSpPr>
              <xdr:cNvPr id="34" name="TextBox 33">
                <a:extLst>
                  <a:ext uri="{FF2B5EF4-FFF2-40B4-BE49-F238E27FC236}">
                    <a16:creationId xmlns:a16="http://schemas.microsoft.com/office/drawing/2014/main" id="{3516649E-9C12-C2B0-F4F6-DD850C71A50B}"/>
                  </a:ext>
                </a:extLst>
              </xdr:cNvPr>
              <xdr:cNvSpPr txBox="1"/>
            </xdr:nvSpPr>
            <xdr:spPr>
              <a:xfrm>
                <a:off x="13243560" y="3119511"/>
                <a:ext cx="769620" cy="235047"/>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2"/>
                    </a:solidFill>
                  </a:rPr>
                  <a:t>Summary</a:t>
                </a:r>
              </a:p>
            </xdr:txBody>
          </xdr:sp>
          <xdr:sp macro="" textlink="">
            <xdr:nvSpPr>
              <xdr:cNvPr id="35" name="TextBox 34">
                <a:hlinkClick xmlns:r="http://schemas.openxmlformats.org/officeDocument/2006/relationships" r:id="rId21"/>
                <a:extLst>
                  <a:ext uri="{FF2B5EF4-FFF2-40B4-BE49-F238E27FC236}">
                    <a16:creationId xmlns:a16="http://schemas.microsoft.com/office/drawing/2014/main" id="{E6D7BCA3-B1CF-9EF5-9517-387FDE5420F1}"/>
                  </a:ext>
                </a:extLst>
              </xdr:cNvPr>
              <xdr:cNvSpPr txBox="1"/>
            </xdr:nvSpPr>
            <xdr:spPr>
              <a:xfrm>
                <a:off x="12443460" y="309665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Dashboard</a:t>
                </a:r>
              </a:p>
            </xdr:txBody>
          </xdr:sp>
        </xdr:grp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108857</xdr:colOff>
      <xdr:row>6</xdr:row>
      <xdr:rowOff>31570</xdr:rowOff>
    </xdr:from>
    <xdr:to>
      <xdr:col>2</xdr:col>
      <xdr:colOff>99257</xdr:colOff>
      <xdr:row>32</xdr:row>
      <xdr:rowOff>152084</xdr:rowOff>
    </xdr:to>
    <xdr:sp macro="" textlink="">
      <xdr:nvSpPr>
        <xdr:cNvPr id="3" name="Rectangle: Rounded Corners 2">
          <a:extLst>
            <a:ext uri="{FF2B5EF4-FFF2-40B4-BE49-F238E27FC236}">
              <a16:creationId xmlns:a16="http://schemas.microsoft.com/office/drawing/2014/main" id="{735EF0EC-71A0-495B-BABB-E2162ED8C7E5}"/>
            </a:ext>
          </a:extLst>
        </xdr:cNvPr>
        <xdr:cNvSpPr/>
      </xdr:nvSpPr>
      <xdr:spPr>
        <a:xfrm>
          <a:off x="108857" y="1128850"/>
          <a:ext cx="1209600" cy="487539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0</xdr:row>
      <xdr:rowOff>76200</xdr:rowOff>
    </xdr:from>
    <xdr:to>
      <xdr:col>19</xdr:col>
      <xdr:colOff>606960</xdr:colOff>
      <xdr:row>34</xdr:row>
      <xdr:rowOff>144780</xdr:rowOff>
    </xdr:to>
    <xdr:sp macro="" textlink="">
      <xdr:nvSpPr>
        <xdr:cNvPr id="2" name="Rectangle: Rounded Corners 1">
          <a:extLst>
            <a:ext uri="{FF2B5EF4-FFF2-40B4-BE49-F238E27FC236}">
              <a16:creationId xmlns:a16="http://schemas.microsoft.com/office/drawing/2014/main" id="{E1C6ECA3-EDFF-8946-551C-4B9C83545A59}"/>
            </a:ext>
          </a:extLst>
        </xdr:cNvPr>
        <xdr:cNvSpPr/>
      </xdr:nvSpPr>
      <xdr:spPr>
        <a:xfrm>
          <a:off x="60960" y="76200"/>
          <a:ext cx="12128400" cy="6192289"/>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174171</xdr:colOff>
      <xdr:row>6</xdr:row>
      <xdr:rowOff>87085</xdr:rowOff>
    </xdr:from>
    <xdr:to>
      <xdr:col>5</xdr:col>
      <xdr:colOff>382971</xdr:colOff>
      <xdr:row>11</xdr:row>
      <xdr:rowOff>29399</xdr:rowOff>
    </xdr:to>
    <xdr:sp macro="" textlink="">
      <xdr:nvSpPr>
        <xdr:cNvPr id="4" name="Rectangle: Rounded Corners 3">
          <a:extLst>
            <a:ext uri="{FF2B5EF4-FFF2-40B4-BE49-F238E27FC236}">
              <a16:creationId xmlns:a16="http://schemas.microsoft.com/office/drawing/2014/main" id="{93DE6EA0-A056-49E7-8482-BE9E73B3AC88}"/>
            </a:ext>
          </a:extLst>
        </xdr:cNvPr>
        <xdr:cNvSpPr/>
      </xdr:nvSpPr>
      <xdr:spPr>
        <a:xfrm>
          <a:off x="1393371" y="1197428"/>
          <a:ext cx="2037600" cy="8676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468086</xdr:colOff>
      <xdr:row>6</xdr:row>
      <xdr:rowOff>54428</xdr:rowOff>
    </xdr:from>
    <xdr:to>
      <xdr:col>9</xdr:col>
      <xdr:colOff>67286</xdr:colOff>
      <xdr:row>10</xdr:row>
      <xdr:rowOff>181800</xdr:rowOff>
    </xdr:to>
    <xdr:sp macro="" textlink="">
      <xdr:nvSpPr>
        <xdr:cNvPr id="5" name="Rectangle: Rounded Corners 4">
          <a:extLst>
            <a:ext uri="{FF2B5EF4-FFF2-40B4-BE49-F238E27FC236}">
              <a16:creationId xmlns:a16="http://schemas.microsoft.com/office/drawing/2014/main" id="{9699E824-41AA-4B3A-AA2F-E49464C99ABF}"/>
            </a:ext>
          </a:extLst>
        </xdr:cNvPr>
        <xdr:cNvSpPr/>
      </xdr:nvSpPr>
      <xdr:spPr>
        <a:xfrm>
          <a:off x="3516086" y="1164771"/>
          <a:ext cx="2037600" cy="8676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206829</xdr:colOff>
      <xdr:row>6</xdr:row>
      <xdr:rowOff>54428</xdr:rowOff>
    </xdr:from>
    <xdr:to>
      <xdr:col>12</xdr:col>
      <xdr:colOff>415629</xdr:colOff>
      <xdr:row>10</xdr:row>
      <xdr:rowOff>181800</xdr:rowOff>
    </xdr:to>
    <xdr:sp macro="" textlink="">
      <xdr:nvSpPr>
        <xdr:cNvPr id="6" name="Rectangle: Rounded Corners 5">
          <a:extLst>
            <a:ext uri="{FF2B5EF4-FFF2-40B4-BE49-F238E27FC236}">
              <a16:creationId xmlns:a16="http://schemas.microsoft.com/office/drawing/2014/main" id="{9EF03B13-04F3-4842-8E5B-45D6B30F8245}"/>
            </a:ext>
          </a:extLst>
        </xdr:cNvPr>
        <xdr:cNvSpPr/>
      </xdr:nvSpPr>
      <xdr:spPr>
        <a:xfrm>
          <a:off x="5693229" y="1164771"/>
          <a:ext cx="2037600" cy="8676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511629</xdr:colOff>
      <xdr:row>6</xdr:row>
      <xdr:rowOff>43541</xdr:rowOff>
    </xdr:from>
    <xdr:to>
      <xdr:col>16</xdr:col>
      <xdr:colOff>110829</xdr:colOff>
      <xdr:row>10</xdr:row>
      <xdr:rowOff>170913</xdr:rowOff>
    </xdr:to>
    <xdr:sp macro="" textlink="">
      <xdr:nvSpPr>
        <xdr:cNvPr id="7" name="Rectangle: Rounded Corners 6">
          <a:extLst>
            <a:ext uri="{FF2B5EF4-FFF2-40B4-BE49-F238E27FC236}">
              <a16:creationId xmlns:a16="http://schemas.microsoft.com/office/drawing/2014/main" id="{484EF6AB-6A2E-4A37-B9C0-A2019347504F}"/>
            </a:ext>
          </a:extLst>
        </xdr:cNvPr>
        <xdr:cNvSpPr/>
      </xdr:nvSpPr>
      <xdr:spPr>
        <a:xfrm>
          <a:off x="7826829" y="1153884"/>
          <a:ext cx="2037600" cy="8676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60000"/>
                <a:lumOff val="40000"/>
              </a:schemeClr>
            </a:solidFill>
          </a:endParaRPr>
        </a:p>
      </xdr:txBody>
    </xdr:sp>
    <xdr:clientData/>
  </xdr:twoCellAnchor>
  <xdr:twoCellAnchor>
    <xdr:from>
      <xdr:col>16</xdr:col>
      <xdr:colOff>261258</xdr:colOff>
      <xdr:row>6</xdr:row>
      <xdr:rowOff>10884</xdr:rowOff>
    </xdr:from>
    <xdr:to>
      <xdr:col>19</xdr:col>
      <xdr:colOff>470058</xdr:colOff>
      <xdr:row>10</xdr:row>
      <xdr:rowOff>138256</xdr:rowOff>
    </xdr:to>
    <xdr:sp macro="" textlink="">
      <xdr:nvSpPr>
        <xdr:cNvPr id="8" name="Rectangle: Rounded Corners 7">
          <a:extLst>
            <a:ext uri="{FF2B5EF4-FFF2-40B4-BE49-F238E27FC236}">
              <a16:creationId xmlns:a16="http://schemas.microsoft.com/office/drawing/2014/main" id="{808D40B9-5F94-4109-8BE7-6F2145D756DF}"/>
            </a:ext>
          </a:extLst>
        </xdr:cNvPr>
        <xdr:cNvSpPr/>
      </xdr:nvSpPr>
      <xdr:spPr>
        <a:xfrm>
          <a:off x="10014858" y="1121227"/>
          <a:ext cx="2037600" cy="86760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206828</xdr:colOff>
      <xdr:row>12</xdr:row>
      <xdr:rowOff>21770</xdr:rowOff>
    </xdr:from>
    <xdr:to>
      <xdr:col>9</xdr:col>
      <xdr:colOff>10886</xdr:colOff>
      <xdr:row>22</xdr:row>
      <xdr:rowOff>108857</xdr:rowOff>
    </xdr:to>
    <xdr:sp macro="" textlink="">
      <xdr:nvSpPr>
        <xdr:cNvPr id="10" name="Rectangle: Rounded Corners 9">
          <a:extLst>
            <a:ext uri="{FF2B5EF4-FFF2-40B4-BE49-F238E27FC236}">
              <a16:creationId xmlns:a16="http://schemas.microsoft.com/office/drawing/2014/main" id="{99D9DDC3-0B47-48B7-AC9D-C0ED7488B9D9}"/>
            </a:ext>
          </a:extLst>
        </xdr:cNvPr>
        <xdr:cNvSpPr/>
      </xdr:nvSpPr>
      <xdr:spPr>
        <a:xfrm>
          <a:off x="1426028" y="2242456"/>
          <a:ext cx="4071258" cy="193765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261258</xdr:colOff>
      <xdr:row>11</xdr:row>
      <xdr:rowOff>152399</xdr:rowOff>
    </xdr:from>
    <xdr:to>
      <xdr:col>15</xdr:col>
      <xdr:colOff>163286</xdr:colOff>
      <xdr:row>22</xdr:row>
      <xdr:rowOff>54429</xdr:rowOff>
    </xdr:to>
    <xdr:sp macro="" textlink="">
      <xdr:nvSpPr>
        <xdr:cNvPr id="11" name="Rectangle: Rounded Corners 10">
          <a:extLst>
            <a:ext uri="{FF2B5EF4-FFF2-40B4-BE49-F238E27FC236}">
              <a16:creationId xmlns:a16="http://schemas.microsoft.com/office/drawing/2014/main" id="{C6B92950-B41D-4A6F-B165-B3FE91370108}"/>
            </a:ext>
          </a:extLst>
        </xdr:cNvPr>
        <xdr:cNvSpPr/>
      </xdr:nvSpPr>
      <xdr:spPr>
        <a:xfrm>
          <a:off x="5747658" y="2188028"/>
          <a:ext cx="3559628" cy="193765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359228</xdr:colOff>
      <xdr:row>11</xdr:row>
      <xdr:rowOff>97971</xdr:rowOff>
    </xdr:from>
    <xdr:to>
      <xdr:col>19</xdr:col>
      <xdr:colOff>402771</xdr:colOff>
      <xdr:row>22</xdr:row>
      <xdr:rowOff>1</xdr:rowOff>
    </xdr:to>
    <xdr:sp macro="" textlink="">
      <xdr:nvSpPr>
        <xdr:cNvPr id="12" name="Rectangle: Rounded Corners 11">
          <a:extLst>
            <a:ext uri="{FF2B5EF4-FFF2-40B4-BE49-F238E27FC236}">
              <a16:creationId xmlns:a16="http://schemas.microsoft.com/office/drawing/2014/main" id="{2174E7F2-5872-42C4-A605-B123ADA120E1}"/>
            </a:ext>
          </a:extLst>
        </xdr:cNvPr>
        <xdr:cNvSpPr/>
      </xdr:nvSpPr>
      <xdr:spPr>
        <a:xfrm>
          <a:off x="9503228" y="2133600"/>
          <a:ext cx="2481943" cy="193765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239486</xdr:colOff>
      <xdr:row>23</xdr:row>
      <xdr:rowOff>1</xdr:rowOff>
    </xdr:from>
    <xdr:to>
      <xdr:col>7</xdr:col>
      <xdr:colOff>272143</xdr:colOff>
      <xdr:row>33</xdr:row>
      <xdr:rowOff>65314</xdr:rowOff>
    </xdr:to>
    <xdr:sp macro="" textlink="">
      <xdr:nvSpPr>
        <xdr:cNvPr id="13" name="Rectangle: Rounded Corners 12">
          <a:extLst>
            <a:ext uri="{FF2B5EF4-FFF2-40B4-BE49-F238E27FC236}">
              <a16:creationId xmlns:a16="http://schemas.microsoft.com/office/drawing/2014/main" id="{FC3BAC3F-EA38-4E50-BDE6-410CCA6FC0C5}"/>
            </a:ext>
          </a:extLst>
        </xdr:cNvPr>
        <xdr:cNvSpPr/>
      </xdr:nvSpPr>
      <xdr:spPr>
        <a:xfrm>
          <a:off x="1458686" y="4256315"/>
          <a:ext cx="3080657" cy="191588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478971</xdr:colOff>
      <xdr:row>23</xdr:row>
      <xdr:rowOff>1</xdr:rowOff>
    </xdr:from>
    <xdr:to>
      <xdr:col>13</xdr:col>
      <xdr:colOff>137160</xdr:colOff>
      <xdr:row>33</xdr:row>
      <xdr:rowOff>68580</xdr:rowOff>
    </xdr:to>
    <xdr:sp macro="" textlink="">
      <xdr:nvSpPr>
        <xdr:cNvPr id="14" name="Rectangle: Rounded Corners 13">
          <a:extLst>
            <a:ext uri="{FF2B5EF4-FFF2-40B4-BE49-F238E27FC236}">
              <a16:creationId xmlns:a16="http://schemas.microsoft.com/office/drawing/2014/main" id="{D2A5E567-4F74-4C34-A5A0-4173A7173BFF}"/>
            </a:ext>
          </a:extLst>
        </xdr:cNvPr>
        <xdr:cNvSpPr/>
      </xdr:nvSpPr>
      <xdr:spPr>
        <a:xfrm>
          <a:off x="4746171" y="4206241"/>
          <a:ext cx="3315789" cy="189737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274320</xdr:colOff>
      <xdr:row>22</xdr:row>
      <xdr:rowOff>141515</xdr:rowOff>
    </xdr:from>
    <xdr:to>
      <xdr:col>19</xdr:col>
      <xdr:colOff>198120</xdr:colOff>
      <xdr:row>33</xdr:row>
      <xdr:rowOff>21771</xdr:rowOff>
    </xdr:to>
    <xdr:sp macro="" textlink="">
      <xdr:nvSpPr>
        <xdr:cNvPr id="15" name="Rectangle: Rounded Corners 14">
          <a:extLst>
            <a:ext uri="{FF2B5EF4-FFF2-40B4-BE49-F238E27FC236}">
              <a16:creationId xmlns:a16="http://schemas.microsoft.com/office/drawing/2014/main" id="{4E27AB8A-DAAA-4D09-9A9E-72A59795F71C}"/>
            </a:ext>
          </a:extLst>
        </xdr:cNvPr>
        <xdr:cNvSpPr/>
      </xdr:nvSpPr>
      <xdr:spPr>
        <a:xfrm>
          <a:off x="8199120" y="4164875"/>
          <a:ext cx="3581400" cy="1891936"/>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566057</xdr:colOff>
      <xdr:row>6</xdr:row>
      <xdr:rowOff>76201</xdr:rowOff>
    </xdr:from>
    <xdr:to>
      <xdr:col>16</xdr:col>
      <xdr:colOff>119743</xdr:colOff>
      <xdr:row>10</xdr:row>
      <xdr:rowOff>108859</xdr:rowOff>
    </xdr:to>
    <xdr:pic>
      <xdr:nvPicPr>
        <xdr:cNvPr id="26" name="Graphic 25" descr="Bar chart with solid fill">
          <a:extLst>
            <a:ext uri="{FF2B5EF4-FFF2-40B4-BE49-F238E27FC236}">
              <a16:creationId xmlns:a16="http://schemas.microsoft.com/office/drawing/2014/main" id="{B3A3FCBF-2572-270F-B6EF-ED8340A412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00457" y="1186544"/>
          <a:ext cx="772886" cy="772886"/>
        </a:xfrm>
        <a:prstGeom prst="rect">
          <a:avLst/>
        </a:prstGeom>
      </xdr:spPr>
    </xdr:pic>
    <xdr:clientData/>
  </xdr:twoCellAnchor>
  <xdr:twoCellAnchor editAs="oneCell">
    <xdr:from>
      <xdr:col>11</xdr:col>
      <xdr:colOff>272141</xdr:colOff>
      <xdr:row>6</xdr:row>
      <xdr:rowOff>65314</xdr:rowOff>
    </xdr:from>
    <xdr:to>
      <xdr:col>12</xdr:col>
      <xdr:colOff>446314</xdr:colOff>
      <xdr:row>10</xdr:row>
      <xdr:rowOff>108859</xdr:rowOff>
    </xdr:to>
    <xdr:pic>
      <xdr:nvPicPr>
        <xdr:cNvPr id="30" name="Graphic 29" descr="Piggy Bank with solid fill">
          <a:extLst>
            <a:ext uri="{FF2B5EF4-FFF2-40B4-BE49-F238E27FC236}">
              <a16:creationId xmlns:a16="http://schemas.microsoft.com/office/drawing/2014/main" id="{A835E05F-01B3-73D0-29D1-A0A8D507479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77741" y="1175657"/>
          <a:ext cx="783773" cy="783773"/>
        </a:xfrm>
        <a:prstGeom prst="rect">
          <a:avLst/>
        </a:prstGeom>
      </xdr:spPr>
    </xdr:pic>
    <xdr:clientData/>
  </xdr:twoCellAnchor>
  <xdr:twoCellAnchor editAs="oneCell">
    <xdr:from>
      <xdr:col>18</xdr:col>
      <xdr:colOff>326571</xdr:colOff>
      <xdr:row>6</xdr:row>
      <xdr:rowOff>65311</xdr:rowOff>
    </xdr:from>
    <xdr:to>
      <xdr:col>19</xdr:col>
      <xdr:colOff>522514</xdr:colOff>
      <xdr:row>10</xdr:row>
      <xdr:rowOff>54428</xdr:rowOff>
    </xdr:to>
    <xdr:pic>
      <xdr:nvPicPr>
        <xdr:cNvPr id="32" name="Graphic 31" descr="Scales of justice with solid fill">
          <a:extLst>
            <a:ext uri="{FF2B5EF4-FFF2-40B4-BE49-F238E27FC236}">
              <a16:creationId xmlns:a16="http://schemas.microsoft.com/office/drawing/2014/main" id="{28A1FEF2-5E5E-209D-E3EE-56FAD5D84E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299371" y="1175654"/>
          <a:ext cx="805543" cy="729345"/>
        </a:xfrm>
        <a:prstGeom prst="rect">
          <a:avLst/>
        </a:prstGeom>
      </xdr:spPr>
    </xdr:pic>
    <xdr:clientData/>
  </xdr:twoCellAnchor>
  <xdr:twoCellAnchor editAs="oneCell">
    <xdr:from>
      <xdr:col>4</xdr:col>
      <xdr:colOff>348343</xdr:colOff>
      <xdr:row>7</xdr:row>
      <xdr:rowOff>32657</xdr:rowOff>
    </xdr:from>
    <xdr:to>
      <xdr:col>5</xdr:col>
      <xdr:colOff>402771</xdr:colOff>
      <xdr:row>10</xdr:row>
      <xdr:rowOff>119743</xdr:rowOff>
    </xdr:to>
    <xdr:pic>
      <xdr:nvPicPr>
        <xdr:cNvPr id="34" name="Graphic 33" descr="Closed book with solid fill">
          <a:extLst>
            <a:ext uri="{FF2B5EF4-FFF2-40B4-BE49-F238E27FC236}">
              <a16:creationId xmlns:a16="http://schemas.microsoft.com/office/drawing/2014/main" id="{563DA0AB-60C2-35C2-BB0E-5B820A7195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86743" y="1328057"/>
          <a:ext cx="664028" cy="642257"/>
        </a:xfrm>
        <a:prstGeom prst="rect">
          <a:avLst/>
        </a:prstGeom>
      </xdr:spPr>
    </xdr:pic>
    <xdr:clientData/>
  </xdr:twoCellAnchor>
  <xdr:twoCellAnchor editAs="oneCell">
    <xdr:from>
      <xdr:col>8</xdr:col>
      <xdr:colOff>97971</xdr:colOff>
      <xdr:row>7</xdr:row>
      <xdr:rowOff>65314</xdr:rowOff>
    </xdr:from>
    <xdr:to>
      <xdr:col>9</xdr:col>
      <xdr:colOff>54429</xdr:colOff>
      <xdr:row>10</xdr:row>
      <xdr:rowOff>76201</xdr:rowOff>
    </xdr:to>
    <xdr:pic>
      <xdr:nvPicPr>
        <xdr:cNvPr id="35" name="Graphic 34" descr="Closed book with solid fill">
          <a:extLst>
            <a:ext uri="{FF2B5EF4-FFF2-40B4-BE49-F238E27FC236}">
              <a16:creationId xmlns:a16="http://schemas.microsoft.com/office/drawing/2014/main" id="{D28E3225-5262-4874-B545-C6380DE7EBA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74771" y="1360714"/>
          <a:ext cx="566058" cy="566058"/>
        </a:xfrm>
        <a:prstGeom prst="rect">
          <a:avLst/>
        </a:prstGeom>
      </xdr:spPr>
    </xdr:pic>
    <xdr:clientData/>
  </xdr:twoCellAnchor>
  <xdr:twoCellAnchor>
    <xdr:from>
      <xdr:col>2</xdr:col>
      <xdr:colOff>185057</xdr:colOff>
      <xdr:row>6</xdr:row>
      <xdr:rowOff>152401</xdr:rowOff>
    </xdr:from>
    <xdr:to>
      <xdr:col>4</xdr:col>
      <xdr:colOff>304800</xdr:colOff>
      <xdr:row>8</xdr:row>
      <xdr:rowOff>119743</xdr:rowOff>
    </xdr:to>
    <xdr:sp macro="" textlink="">
      <xdr:nvSpPr>
        <xdr:cNvPr id="36" name="TextBox 35">
          <a:extLst>
            <a:ext uri="{FF2B5EF4-FFF2-40B4-BE49-F238E27FC236}">
              <a16:creationId xmlns:a16="http://schemas.microsoft.com/office/drawing/2014/main" id="{8DF66BAD-9646-0926-438E-8D687A27DCA0}"/>
            </a:ext>
          </a:extLst>
        </xdr:cNvPr>
        <xdr:cNvSpPr txBox="1"/>
      </xdr:nvSpPr>
      <xdr:spPr>
        <a:xfrm>
          <a:off x="1404257" y="1262744"/>
          <a:ext cx="1338943"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3">
                  <a:lumMod val="75000"/>
                </a:schemeClr>
              </a:solidFill>
            </a:rPr>
            <a:t>TOTAL INCOME</a:t>
          </a:r>
        </a:p>
      </xdr:txBody>
    </xdr:sp>
    <xdr:clientData/>
  </xdr:twoCellAnchor>
  <xdr:twoCellAnchor>
    <xdr:from>
      <xdr:col>5</xdr:col>
      <xdr:colOff>446314</xdr:colOff>
      <xdr:row>6</xdr:row>
      <xdr:rowOff>76200</xdr:rowOff>
    </xdr:from>
    <xdr:to>
      <xdr:col>8</xdr:col>
      <xdr:colOff>65313</xdr:colOff>
      <xdr:row>8</xdr:row>
      <xdr:rowOff>87085</xdr:rowOff>
    </xdr:to>
    <xdr:sp macro="" textlink="">
      <xdr:nvSpPr>
        <xdr:cNvPr id="38" name="TextBox 37">
          <a:extLst>
            <a:ext uri="{FF2B5EF4-FFF2-40B4-BE49-F238E27FC236}">
              <a16:creationId xmlns:a16="http://schemas.microsoft.com/office/drawing/2014/main" id="{FFEDC7B5-FA0D-AF26-7C8B-BAC2AC1CBC66}"/>
            </a:ext>
          </a:extLst>
        </xdr:cNvPr>
        <xdr:cNvSpPr txBox="1"/>
      </xdr:nvSpPr>
      <xdr:spPr>
        <a:xfrm>
          <a:off x="3494314" y="1186543"/>
          <a:ext cx="1447799"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rPr>
            <a:t>TOTAL EXPENSES</a:t>
          </a:r>
        </a:p>
      </xdr:txBody>
    </xdr:sp>
    <xdr:clientData/>
  </xdr:twoCellAnchor>
  <xdr:twoCellAnchor>
    <xdr:from>
      <xdr:col>9</xdr:col>
      <xdr:colOff>239486</xdr:colOff>
      <xdr:row>6</xdr:row>
      <xdr:rowOff>54428</xdr:rowOff>
    </xdr:from>
    <xdr:to>
      <xdr:col>11</xdr:col>
      <xdr:colOff>391885</xdr:colOff>
      <xdr:row>8</xdr:row>
      <xdr:rowOff>43543</xdr:rowOff>
    </xdr:to>
    <xdr:sp macro="" textlink="">
      <xdr:nvSpPr>
        <xdr:cNvPr id="39" name="TextBox 38">
          <a:extLst>
            <a:ext uri="{FF2B5EF4-FFF2-40B4-BE49-F238E27FC236}">
              <a16:creationId xmlns:a16="http://schemas.microsoft.com/office/drawing/2014/main" id="{B980BCF2-26DD-FD16-03EA-586EB5CF758E}"/>
            </a:ext>
          </a:extLst>
        </xdr:cNvPr>
        <xdr:cNvSpPr txBox="1"/>
      </xdr:nvSpPr>
      <xdr:spPr>
        <a:xfrm>
          <a:off x="5725886" y="1164771"/>
          <a:ext cx="1371599"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60000"/>
                  <a:lumOff val="40000"/>
                </a:schemeClr>
              </a:solidFill>
              <a:latin typeface="+mn-lt"/>
              <a:ea typeface="+mn-ea"/>
              <a:cs typeface="+mn-cs"/>
            </a:rPr>
            <a:t>TOTAL SAVINGS</a:t>
          </a:r>
        </a:p>
      </xdr:txBody>
    </xdr:sp>
    <xdr:clientData/>
  </xdr:twoCellAnchor>
  <xdr:twoCellAnchor>
    <xdr:from>
      <xdr:col>13</xdr:col>
      <xdr:colOff>0</xdr:colOff>
      <xdr:row>6</xdr:row>
      <xdr:rowOff>97972</xdr:rowOff>
    </xdr:from>
    <xdr:to>
      <xdr:col>14</xdr:col>
      <xdr:colOff>522514</xdr:colOff>
      <xdr:row>8</xdr:row>
      <xdr:rowOff>54430</xdr:rowOff>
    </xdr:to>
    <xdr:sp macro="" textlink="">
      <xdr:nvSpPr>
        <xdr:cNvPr id="40" name="TextBox 39">
          <a:extLst>
            <a:ext uri="{FF2B5EF4-FFF2-40B4-BE49-F238E27FC236}">
              <a16:creationId xmlns:a16="http://schemas.microsoft.com/office/drawing/2014/main" id="{F4FA0FC0-7EE3-9AE4-07AA-7FA4E5DBEEC6}"/>
            </a:ext>
          </a:extLst>
        </xdr:cNvPr>
        <xdr:cNvSpPr txBox="1"/>
      </xdr:nvSpPr>
      <xdr:spPr>
        <a:xfrm>
          <a:off x="7924800" y="1208315"/>
          <a:ext cx="1132114"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rPr>
            <a:t>INVESTMENT</a:t>
          </a:r>
        </a:p>
      </xdr:txBody>
    </xdr:sp>
    <xdr:clientData/>
  </xdr:twoCellAnchor>
  <xdr:twoCellAnchor>
    <xdr:from>
      <xdr:col>16</xdr:col>
      <xdr:colOff>272143</xdr:colOff>
      <xdr:row>6</xdr:row>
      <xdr:rowOff>10886</xdr:rowOff>
    </xdr:from>
    <xdr:to>
      <xdr:col>18</xdr:col>
      <xdr:colOff>185057</xdr:colOff>
      <xdr:row>8</xdr:row>
      <xdr:rowOff>54429</xdr:rowOff>
    </xdr:to>
    <xdr:sp macro="" textlink="">
      <xdr:nvSpPr>
        <xdr:cNvPr id="41" name="TextBox 40">
          <a:extLst>
            <a:ext uri="{FF2B5EF4-FFF2-40B4-BE49-F238E27FC236}">
              <a16:creationId xmlns:a16="http://schemas.microsoft.com/office/drawing/2014/main" id="{D2DD4C5F-3225-DED1-F008-509EA85012E5}"/>
            </a:ext>
          </a:extLst>
        </xdr:cNvPr>
        <xdr:cNvSpPr txBox="1"/>
      </xdr:nvSpPr>
      <xdr:spPr>
        <a:xfrm>
          <a:off x="10025743" y="1121229"/>
          <a:ext cx="1132114"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rPr>
            <a:t>NET WORTH</a:t>
          </a:r>
        </a:p>
      </xdr:txBody>
    </xdr:sp>
    <xdr:clientData/>
  </xdr:twoCellAnchor>
  <xdr:twoCellAnchor>
    <xdr:from>
      <xdr:col>2</xdr:col>
      <xdr:colOff>217712</xdr:colOff>
      <xdr:row>8</xdr:row>
      <xdr:rowOff>97972</xdr:rowOff>
    </xdr:from>
    <xdr:to>
      <xdr:col>4</xdr:col>
      <xdr:colOff>315686</xdr:colOff>
      <xdr:row>10</xdr:row>
      <xdr:rowOff>87086</xdr:rowOff>
    </xdr:to>
    <xdr:sp macro="" textlink="Summary!C12">
      <xdr:nvSpPr>
        <xdr:cNvPr id="42" name="TextBox 41">
          <a:extLst>
            <a:ext uri="{FF2B5EF4-FFF2-40B4-BE49-F238E27FC236}">
              <a16:creationId xmlns:a16="http://schemas.microsoft.com/office/drawing/2014/main" id="{020B99C1-8998-1785-A381-4D64D07023C8}"/>
            </a:ext>
          </a:extLst>
        </xdr:cNvPr>
        <xdr:cNvSpPr txBox="1"/>
      </xdr:nvSpPr>
      <xdr:spPr>
        <a:xfrm>
          <a:off x="1436912" y="1578429"/>
          <a:ext cx="1317174"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B3EE2E-3DAF-4E36-A6A6-6B0BFE6CA246}" type="TxLink">
            <a:rPr lang="en-US" sz="1800" b="1" i="0" u="none" strike="noStrike">
              <a:solidFill>
                <a:schemeClr val="bg2">
                  <a:lumMod val="10000"/>
                </a:schemeClr>
              </a:solidFill>
              <a:latin typeface="Aptos Narrow"/>
            </a:rPr>
            <a:pPr algn="ctr"/>
            <a:t> ₹ 13,99,063 </a:t>
          </a:fld>
          <a:endParaRPr lang="en-IN" sz="1800" b="1">
            <a:solidFill>
              <a:schemeClr val="bg2">
                <a:lumMod val="10000"/>
              </a:schemeClr>
            </a:solidFill>
          </a:endParaRPr>
        </a:p>
      </xdr:txBody>
    </xdr:sp>
    <xdr:clientData/>
  </xdr:twoCellAnchor>
  <xdr:twoCellAnchor>
    <xdr:from>
      <xdr:col>9</xdr:col>
      <xdr:colOff>228600</xdr:colOff>
      <xdr:row>8</xdr:row>
      <xdr:rowOff>32657</xdr:rowOff>
    </xdr:from>
    <xdr:to>
      <xdr:col>11</xdr:col>
      <xdr:colOff>326574</xdr:colOff>
      <xdr:row>10</xdr:row>
      <xdr:rowOff>21771</xdr:rowOff>
    </xdr:to>
    <xdr:sp macro="" textlink="Summary!C14">
      <xdr:nvSpPr>
        <xdr:cNvPr id="43" name="TextBox 42">
          <a:extLst>
            <a:ext uri="{FF2B5EF4-FFF2-40B4-BE49-F238E27FC236}">
              <a16:creationId xmlns:a16="http://schemas.microsoft.com/office/drawing/2014/main" id="{5DFE38E9-7536-4EF9-AC22-E7F2ECD23DB8}"/>
            </a:ext>
          </a:extLst>
        </xdr:cNvPr>
        <xdr:cNvSpPr txBox="1"/>
      </xdr:nvSpPr>
      <xdr:spPr>
        <a:xfrm>
          <a:off x="5715000" y="1513114"/>
          <a:ext cx="1317174"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2FF14F-3906-4DCD-85C3-C4BDE77238E8}" type="TxLink">
            <a:rPr lang="en-US" sz="1800" b="1" i="0" u="none" strike="noStrike">
              <a:solidFill>
                <a:schemeClr val="tx1">
                  <a:lumMod val="95000"/>
                  <a:lumOff val="5000"/>
                </a:schemeClr>
              </a:solidFill>
              <a:latin typeface="Aptos Narrow"/>
            </a:rPr>
            <a:t> ₹ 4,61,636 </a:t>
          </a:fld>
          <a:endParaRPr lang="en-IN" sz="1800" b="1">
            <a:solidFill>
              <a:schemeClr val="tx1">
                <a:lumMod val="95000"/>
                <a:lumOff val="5000"/>
              </a:schemeClr>
            </a:solidFill>
          </a:endParaRPr>
        </a:p>
      </xdr:txBody>
    </xdr:sp>
    <xdr:clientData/>
  </xdr:twoCellAnchor>
  <xdr:twoCellAnchor>
    <xdr:from>
      <xdr:col>16</xdr:col>
      <xdr:colOff>206829</xdr:colOff>
      <xdr:row>8</xdr:row>
      <xdr:rowOff>0</xdr:rowOff>
    </xdr:from>
    <xdr:to>
      <xdr:col>18</xdr:col>
      <xdr:colOff>304803</xdr:colOff>
      <xdr:row>9</xdr:row>
      <xdr:rowOff>174171</xdr:rowOff>
    </xdr:to>
    <xdr:sp macro="" textlink="Summary!C16">
      <xdr:nvSpPr>
        <xdr:cNvPr id="44" name="TextBox 43">
          <a:extLst>
            <a:ext uri="{FF2B5EF4-FFF2-40B4-BE49-F238E27FC236}">
              <a16:creationId xmlns:a16="http://schemas.microsoft.com/office/drawing/2014/main" id="{F62167A5-DFC7-4B92-BADF-25D56F92F4A0}"/>
            </a:ext>
          </a:extLst>
        </xdr:cNvPr>
        <xdr:cNvSpPr txBox="1"/>
      </xdr:nvSpPr>
      <xdr:spPr>
        <a:xfrm>
          <a:off x="9960429" y="1480457"/>
          <a:ext cx="1317174"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76B0C9-5F2A-4123-9471-4593BDAABE18}" type="TxLink">
            <a:rPr lang="en-US" sz="1800" b="1" i="0" u="none" strike="noStrike">
              <a:solidFill>
                <a:schemeClr val="tx1">
                  <a:lumMod val="95000"/>
                  <a:lumOff val="5000"/>
                </a:schemeClr>
              </a:solidFill>
              <a:latin typeface="Aptos Narrow"/>
            </a:rPr>
            <a:t> ₹ 7,29,575 </a:t>
          </a:fld>
          <a:endParaRPr lang="en-IN" sz="1800" b="1">
            <a:solidFill>
              <a:schemeClr val="tx1">
                <a:lumMod val="95000"/>
                <a:lumOff val="5000"/>
              </a:schemeClr>
            </a:solidFill>
          </a:endParaRPr>
        </a:p>
      </xdr:txBody>
    </xdr:sp>
    <xdr:clientData/>
  </xdr:twoCellAnchor>
  <xdr:twoCellAnchor>
    <xdr:from>
      <xdr:col>12</xdr:col>
      <xdr:colOff>511629</xdr:colOff>
      <xdr:row>8</xdr:row>
      <xdr:rowOff>43543</xdr:rowOff>
    </xdr:from>
    <xdr:to>
      <xdr:col>15</xdr:col>
      <xdr:colOff>3</xdr:colOff>
      <xdr:row>10</xdr:row>
      <xdr:rowOff>32657</xdr:rowOff>
    </xdr:to>
    <xdr:sp macro="" textlink="Summary!C15">
      <xdr:nvSpPr>
        <xdr:cNvPr id="45" name="TextBox 44">
          <a:extLst>
            <a:ext uri="{FF2B5EF4-FFF2-40B4-BE49-F238E27FC236}">
              <a16:creationId xmlns:a16="http://schemas.microsoft.com/office/drawing/2014/main" id="{9C2C0725-0356-4212-8D3E-5EE395A7CC02}"/>
            </a:ext>
          </a:extLst>
        </xdr:cNvPr>
        <xdr:cNvSpPr txBox="1"/>
      </xdr:nvSpPr>
      <xdr:spPr>
        <a:xfrm>
          <a:off x="7826829" y="1524000"/>
          <a:ext cx="1317174"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946E12-9322-4093-B233-658943F532C6}" type="TxLink">
            <a:rPr lang="en-US" sz="1800" b="1" i="0" u="none" strike="noStrike">
              <a:solidFill>
                <a:schemeClr val="tx1">
                  <a:lumMod val="95000"/>
                  <a:lumOff val="5000"/>
                </a:schemeClr>
              </a:solidFill>
              <a:latin typeface="Aptos Narrow"/>
            </a:rPr>
            <a:t> ₹ 2,67,939 </a:t>
          </a:fld>
          <a:endParaRPr lang="en-IN" sz="1800" b="1">
            <a:solidFill>
              <a:schemeClr val="tx1">
                <a:lumMod val="95000"/>
                <a:lumOff val="5000"/>
              </a:schemeClr>
            </a:solidFill>
          </a:endParaRPr>
        </a:p>
      </xdr:txBody>
    </xdr:sp>
    <xdr:clientData/>
  </xdr:twoCellAnchor>
  <xdr:twoCellAnchor>
    <xdr:from>
      <xdr:col>5</xdr:col>
      <xdr:colOff>478972</xdr:colOff>
      <xdr:row>8</xdr:row>
      <xdr:rowOff>65314</xdr:rowOff>
    </xdr:from>
    <xdr:to>
      <xdr:col>7</xdr:col>
      <xdr:colOff>576946</xdr:colOff>
      <xdr:row>10</xdr:row>
      <xdr:rowOff>54428</xdr:rowOff>
    </xdr:to>
    <xdr:sp macro="" textlink="Summary!C13">
      <xdr:nvSpPr>
        <xdr:cNvPr id="46" name="TextBox 45">
          <a:extLst>
            <a:ext uri="{FF2B5EF4-FFF2-40B4-BE49-F238E27FC236}">
              <a16:creationId xmlns:a16="http://schemas.microsoft.com/office/drawing/2014/main" id="{A077142B-892E-435A-84D5-DE6C04CD7BC9}"/>
            </a:ext>
          </a:extLst>
        </xdr:cNvPr>
        <xdr:cNvSpPr txBox="1"/>
      </xdr:nvSpPr>
      <xdr:spPr>
        <a:xfrm>
          <a:off x="3526972" y="1528354"/>
          <a:ext cx="1317174" cy="3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F84E5-6A9E-4D9B-8B29-18A268185D87}" type="TxLink">
            <a:rPr lang="en-US" sz="1800" b="1" i="0" u="none" strike="noStrike">
              <a:solidFill>
                <a:schemeClr val="tx1">
                  <a:lumMod val="95000"/>
                  <a:lumOff val="5000"/>
                </a:schemeClr>
              </a:solidFill>
              <a:latin typeface="Aptos Narrow"/>
            </a:rPr>
            <a:t> ₹ 9,37,427 </a:t>
          </a:fld>
          <a:endParaRPr lang="en-IN" sz="1800" b="1">
            <a:solidFill>
              <a:schemeClr val="tx1">
                <a:lumMod val="95000"/>
                <a:lumOff val="5000"/>
              </a:schemeClr>
            </a:solidFill>
          </a:endParaRPr>
        </a:p>
      </xdr:txBody>
    </xdr:sp>
    <xdr:clientData/>
  </xdr:twoCellAnchor>
  <xdr:twoCellAnchor>
    <xdr:from>
      <xdr:col>2</xdr:col>
      <xdr:colOff>293916</xdr:colOff>
      <xdr:row>12</xdr:row>
      <xdr:rowOff>97972</xdr:rowOff>
    </xdr:from>
    <xdr:to>
      <xdr:col>8</xdr:col>
      <xdr:colOff>555172</xdr:colOff>
      <xdr:row>22</xdr:row>
      <xdr:rowOff>10886</xdr:rowOff>
    </xdr:to>
    <xdr:graphicFrame macro="">
      <xdr:nvGraphicFramePr>
        <xdr:cNvPr id="51" name="Chart 50">
          <a:extLst>
            <a:ext uri="{FF2B5EF4-FFF2-40B4-BE49-F238E27FC236}">
              <a16:creationId xmlns:a16="http://schemas.microsoft.com/office/drawing/2014/main" id="{19AB0AD1-D394-450E-BD1C-17BFC0657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449580</xdr:colOff>
      <xdr:row>12</xdr:row>
      <xdr:rowOff>38100</xdr:rowOff>
    </xdr:from>
    <xdr:to>
      <xdr:col>14</xdr:col>
      <xdr:colOff>259080</xdr:colOff>
      <xdr:row>22</xdr:row>
      <xdr:rowOff>38100</xdr:rowOff>
    </xdr:to>
    <xdr:graphicFrame macro="">
      <xdr:nvGraphicFramePr>
        <xdr:cNvPr id="52" name="Chart 51">
          <a:extLst>
            <a:ext uri="{FF2B5EF4-FFF2-40B4-BE49-F238E27FC236}">
              <a16:creationId xmlns:a16="http://schemas.microsoft.com/office/drawing/2014/main" id="{267979A5-0AE2-40D9-BF77-28813509C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213360</xdr:colOff>
      <xdr:row>16</xdr:row>
      <xdr:rowOff>95794</xdr:rowOff>
    </xdr:from>
    <xdr:to>
      <xdr:col>12</xdr:col>
      <xdr:colOff>121920</xdr:colOff>
      <xdr:row>18</xdr:row>
      <xdr:rowOff>30480</xdr:rowOff>
    </xdr:to>
    <xdr:sp macro="" textlink="Summary!C13">
      <xdr:nvSpPr>
        <xdr:cNvPr id="53" name="TextBox 52">
          <a:extLst>
            <a:ext uri="{FF2B5EF4-FFF2-40B4-BE49-F238E27FC236}">
              <a16:creationId xmlns:a16="http://schemas.microsoft.com/office/drawing/2014/main" id="{BE1854B0-7FD6-8DF7-F0E2-15D936EE6473}"/>
            </a:ext>
          </a:extLst>
        </xdr:cNvPr>
        <xdr:cNvSpPr txBox="1"/>
      </xdr:nvSpPr>
      <xdr:spPr>
        <a:xfrm>
          <a:off x="6309360" y="3021874"/>
          <a:ext cx="1127760" cy="30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F84E5-6A9E-4D9B-8B29-18A268185D87}" type="TxLink">
            <a:rPr lang="en-US" sz="1400" b="1" i="0" u="none" strike="noStrike">
              <a:solidFill>
                <a:schemeClr val="accent1">
                  <a:lumMod val="75000"/>
                </a:schemeClr>
              </a:solidFill>
              <a:latin typeface="Aptos Narrow"/>
            </a:rPr>
            <a:t> ₹ 9,37,427 </a:t>
          </a:fld>
          <a:endParaRPr lang="en-IN" sz="1400" b="1">
            <a:solidFill>
              <a:schemeClr val="accent1">
                <a:lumMod val="75000"/>
              </a:schemeClr>
            </a:solidFill>
          </a:endParaRPr>
        </a:p>
      </xdr:txBody>
    </xdr:sp>
    <xdr:clientData/>
  </xdr:twoCellAnchor>
  <xdr:twoCellAnchor>
    <xdr:from>
      <xdr:col>10</xdr:col>
      <xdr:colOff>213360</xdr:colOff>
      <xdr:row>17</xdr:row>
      <xdr:rowOff>141514</xdr:rowOff>
    </xdr:from>
    <xdr:to>
      <xdr:col>12</xdr:col>
      <xdr:colOff>121920</xdr:colOff>
      <xdr:row>19</xdr:row>
      <xdr:rowOff>76200</xdr:rowOff>
    </xdr:to>
    <xdr:sp macro="" textlink="">
      <xdr:nvSpPr>
        <xdr:cNvPr id="54" name="TextBox 53">
          <a:extLst>
            <a:ext uri="{FF2B5EF4-FFF2-40B4-BE49-F238E27FC236}">
              <a16:creationId xmlns:a16="http://schemas.microsoft.com/office/drawing/2014/main" id="{47A6D052-814C-4FFF-60CB-388638F76217}"/>
            </a:ext>
          </a:extLst>
        </xdr:cNvPr>
        <xdr:cNvSpPr txBox="1"/>
      </xdr:nvSpPr>
      <xdr:spPr>
        <a:xfrm>
          <a:off x="6309360" y="3250474"/>
          <a:ext cx="1127760" cy="300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accent1">
                  <a:lumMod val="75000"/>
                </a:schemeClr>
              </a:solidFill>
              <a:latin typeface="Aptos Narrow"/>
            </a:rPr>
            <a:t> TOTAL </a:t>
          </a:r>
        </a:p>
      </xdr:txBody>
    </xdr:sp>
    <xdr:clientData/>
  </xdr:twoCellAnchor>
  <xdr:twoCellAnchor>
    <xdr:from>
      <xdr:col>14</xdr:col>
      <xdr:colOff>53340</xdr:colOff>
      <xdr:row>13</xdr:row>
      <xdr:rowOff>53340</xdr:rowOff>
    </xdr:from>
    <xdr:to>
      <xdr:col>14</xdr:col>
      <xdr:colOff>541020</xdr:colOff>
      <xdr:row>22</xdr:row>
      <xdr:rowOff>7620</xdr:rowOff>
    </xdr:to>
    <xdr:graphicFrame macro="">
      <xdr:nvGraphicFramePr>
        <xdr:cNvPr id="55" name="Chart 54">
          <a:extLst>
            <a:ext uri="{FF2B5EF4-FFF2-40B4-BE49-F238E27FC236}">
              <a16:creationId xmlns:a16="http://schemas.microsoft.com/office/drawing/2014/main" id="{380ED238-E0CC-4724-A881-B20EA4E92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22860</xdr:colOff>
      <xdr:row>11</xdr:row>
      <xdr:rowOff>60960</xdr:rowOff>
    </xdr:from>
    <xdr:to>
      <xdr:col>19</xdr:col>
      <xdr:colOff>533400</xdr:colOff>
      <xdr:row>21</xdr:row>
      <xdr:rowOff>38100</xdr:rowOff>
    </xdr:to>
    <xdr:graphicFrame macro="">
      <xdr:nvGraphicFramePr>
        <xdr:cNvPr id="56" name="Chart 55">
          <a:extLst>
            <a:ext uri="{FF2B5EF4-FFF2-40B4-BE49-F238E27FC236}">
              <a16:creationId xmlns:a16="http://schemas.microsoft.com/office/drawing/2014/main" id="{AD3359C8-F57D-4927-876E-096F52828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281940</xdr:colOff>
      <xdr:row>15</xdr:row>
      <xdr:rowOff>131717</xdr:rowOff>
    </xdr:from>
    <xdr:to>
      <xdr:col>18</xdr:col>
      <xdr:colOff>311334</xdr:colOff>
      <xdr:row>17</xdr:row>
      <xdr:rowOff>120831</xdr:rowOff>
    </xdr:to>
    <xdr:sp macro="" textlink="Summary!C20">
      <xdr:nvSpPr>
        <xdr:cNvPr id="57" name="TextBox 56">
          <a:extLst>
            <a:ext uri="{FF2B5EF4-FFF2-40B4-BE49-F238E27FC236}">
              <a16:creationId xmlns:a16="http://schemas.microsoft.com/office/drawing/2014/main" id="{C5316488-9540-353C-3DD8-CCFEBC836D78}"/>
            </a:ext>
          </a:extLst>
        </xdr:cNvPr>
        <xdr:cNvSpPr txBox="1"/>
      </xdr:nvSpPr>
      <xdr:spPr>
        <a:xfrm>
          <a:off x="10035540" y="2874917"/>
          <a:ext cx="1248594" cy="35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A2F129-A3F2-4ACF-9B8B-646541DF4999}" type="TxLink">
            <a:rPr lang="en-US" sz="1800" b="0" i="0" u="none" strike="noStrike">
              <a:solidFill>
                <a:srgbClr val="215C98"/>
              </a:solidFill>
              <a:latin typeface="Aptos Narrow"/>
            </a:rPr>
            <a:t>33%</a:t>
          </a:fld>
          <a:endParaRPr lang="en-IN" sz="1800" b="1">
            <a:solidFill>
              <a:schemeClr val="tx1">
                <a:lumMod val="95000"/>
                <a:lumOff val="5000"/>
              </a:schemeClr>
            </a:solidFill>
          </a:endParaRPr>
        </a:p>
      </xdr:txBody>
    </xdr:sp>
    <xdr:clientData/>
  </xdr:twoCellAnchor>
  <xdr:twoCellAnchor>
    <xdr:from>
      <xdr:col>17</xdr:col>
      <xdr:colOff>22860</xdr:colOff>
      <xdr:row>17</xdr:row>
      <xdr:rowOff>30480</xdr:rowOff>
    </xdr:from>
    <xdr:to>
      <xdr:col>17</xdr:col>
      <xdr:colOff>518160</xdr:colOff>
      <xdr:row>18</xdr:row>
      <xdr:rowOff>60960</xdr:rowOff>
    </xdr:to>
    <xdr:sp macro="" textlink="Summary!C22">
      <xdr:nvSpPr>
        <xdr:cNvPr id="58" name="TextBox 57">
          <a:extLst>
            <a:ext uri="{FF2B5EF4-FFF2-40B4-BE49-F238E27FC236}">
              <a16:creationId xmlns:a16="http://schemas.microsoft.com/office/drawing/2014/main" id="{7F998128-6153-4949-72B5-7D2579E4D91E}"/>
            </a:ext>
          </a:extLst>
        </xdr:cNvPr>
        <xdr:cNvSpPr txBox="1"/>
      </xdr:nvSpPr>
      <xdr:spPr>
        <a:xfrm>
          <a:off x="10386060" y="3139440"/>
          <a:ext cx="4953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5E7253-FDCA-4EB5-97C4-326311C61042}" type="TxLink">
            <a:rPr lang="en-US" sz="1050" b="1" i="0" u="none" strike="noStrike">
              <a:solidFill>
                <a:schemeClr val="tx2">
                  <a:lumMod val="50000"/>
                  <a:lumOff val="50000"/>
                </a:schemeClr>
              </a:solidFill>
              <a:latin typeface="Aptos Narrow"/>
            </a:rPr>
            <a:t>Good</a:t>
          </a:fld>
          <a:endParaRPr lang="en-IN" sz="1050" b="1">
            <a:solidFill>
              <a:schemeClr val="tx2">
                <a:lumMod val="50000"/>
                <a:lumOff val="50000"/>
              </a:schemeClr>
            </a:solidFill>
          </a:endParaRPr>
        </a:p>
      </xdr:txBody>
    </xdr:sp>
    <xdr:clientData/>
  </xdr:twoCellAnchor>
  <xdr:twoCellAnchor>
    <xdr:from>
      <xdr:col>17</xdr:col>
      <xdr:colOff>426720</xdr:colOff>
      <xdr:row>12</xdr:row>
      <xdr:rowOff>53340</xdr:rowOff>
    </xdr:from>
    <xdr:to>
      <xdr:col>19</xdr:col>
      <xdr:colOff>274320</xdr:colOff>
      <xdr:row>14</xdr:row>
      <xdr:rowOff>45720</xdr:rowOff>
    </xdr:to>
    <xdr:sp macro="" textlink="">
      <xdr:nvSpPr>
        <xdr:cNvPr id="59" name="TextBox 58">
          <a:extLst>
            <a:ext uri="{FF2B5EF4-FFF2-40B4-BE49-F238E27FC236}">
              <a16:creationId xmlns:a16="http://schemas.microsoft.com/office/drawing/2014/main" id="{4983F44A-85E7-77C0-122D-4F3DD2B6722A}"/>
            </a:ext>
          </a:extLst>
        </xdr:cNvPr>
        <xdr:cNvSpPr txBox="1"/>
      </xdr:nvSpPr>
      <xdr:spPr>
        <a:xfrm>
          <a:off x="10789920" y="2247900"/>
          <a:ext cx="10668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2">
                  <a:lumMod val="90000"/>
                  <a:lumOff val="10000"/>
                </a:schemeClr>
              </a:solidFill>
            </a:rPr>
            <a:t>TARGET 30%</a:t>
          </a:r>
        </a:p>
      </xdr:txBody>
    </xdr:sp>
    <xdr:clientData/>
  </xdr:twoCellAnchor>
  <xdr:twoCellAnchor>
    <xdr:from>
      <xdr:col>2</xdr:col>
      <xdr:colOff>243840</xdr:colOff>
      <xdr:row>23</xdr:row>
      <xdr:rowOff>106680</xdr:rowOff>
    </xdr:from>
    <xdr:to>
      <xdr:col>7</xdr:col>
      <xdr:colOff>251460</xdr:colOff>
      <xdr:row>33</xdr:row>
      <xdr:rowOff>99060</xdr:rowOff>
    </xdr:to>
    <xdr:graphicFrame macro="">
      <xdr:nvGraphicFramePr>
        <xdr:cNvPr id="61" name="Chart 60">
          <a:extLst>
            <a:ext uri="{FF2B5EF4-FFF2-40B4-BE49-F238E27FC236}">
              <a16:creationId xmlns:a16="http://schemas.microsoft.com/office/drawing/2014/main" id="{C99F3332-D17A-4149-9FAF-18E7F840E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541020</xdr:colOff>
      <xdr:row>23</xdr:row>
      <xdr:rowOff>129540</xdr:rowOff>
    </xdr:from>
    <xdr:to>
      <xdr:col>13</xdr:col>
      <xdr:colOff>106680</xdr:colOff>
      <xdr:row>33</xdr:row>
      <xdr:rowOff>38100</xdr:rowOff>
    </xdr:to>
    <xdr:graphicFrame macro="">
      <xdr:nvGraphicFramePr>
        <xdr:cNvPr id="62" name="Chart 61">
          <a:extLst>
            <a:ext uri="{FF2B5EF4-FFF2-40B4-BE49-F238E27FC236}">
              <a16:creationId xmlns:a16="http://schemas.microsoft.com/office/drawing/2014/main" id="{75831143-049D-4FDC-B2DD-FDF9F7371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373380</xdr:colOff>
      <xdr:row>23</xdr:row>
      <xdr:rowOff>30480</xdr:rowOff>
    </xdr:from>
    <xdr:to>
      <xdr:col>19</xdr:col>
      <xdr:colOff>144780</xdr:colOff>
      <xdr:row>33</xdr:row>
      <xdr:rowOff>0</xdr:rowOff>
    </xdr:to>
    <xdr:graphicFrame macro="">
      <xdr:nvGraphicFramePr>
        <xdr:cNvPr id="64" name="Chart 63">
          <a:extLst>
            <a:ext uri="{FF2B5EF4-FFF2-40B4-BE49-F238E27FC236}">
              <a16:creationId xmlns:a16="http://schemas.microsoft.com/office/drawing/2014/main" id="{F95AF144-8ACD-4375-9614-01420E63F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167640</xdr:colOff>
      <xdr:row>6</xdr:row>
      <xdr:rowOff>129540</xdr:rowOff>
    </xdr:from>
    <xdr:to>
      <xdr:col>2</xdr:col>
      <xdr:colOff>15240</xdr:colOff>
      <xdr:row>12</xdr:row>
      <xdr:rowOff>0</xdr:rowOff>
    </xdr:to>
    <mc:AlternateContent xmlns:mc="http://schemas.openxmlformats.org/markup-compatibility/2006">
      <mc:Choice xmlns:a14="http://schemas.microsoft.com/office/drawing/2010/main" Requires="a14">
        <xdr:graphicFrame macro="">
          <xdr:nvGraphicFramePr>
            <xdr:cNvPr id="69" name="Year">
              <a:extLst>
                <a:ext uri="{FF2B5EF4-FFF2-40B4-BE49-F238E27FC236}">
                  <a16:creationId xmlns:a16="http://schemas.microsoft.com/office/drawing/2014/main" id="{67AAB8A6-6E0B-40C7-9175-21E94F40D5A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640" y="1226820"/>
              <a:ext cx="1066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12</xdr:row>
      <xdr:rowOff>175260</xdr:rowOff>
    </xdr:from>
    <xdr:to>
      <xdr:col>2</xdr:col>
      <xdr:colOff>68580</xdr:colOff>
      <xdr:row>33</xdr:row>
      <xdr:rowOff>106680</xdr:rowOff>
    </xdr:to>
    <mc:AlternateContent xmlns:mc="http://schemas.openxmlformats.org/markup-compatibility/2006">
      <mc:Choice xmlns:a14="http://schemas.microsoft.com/office/drawing/2010/main" Requires="a14">
        <xdr:graphicFrame macro="">
          <xdr:nvGraphicFramePr>
            <xdr:cNvPr id="70" name="Month">
              <a:extLst>
                <a:ext uri="{FF2B5EF4-FFF2-40B4-BE49-F238E27FC236}">
                  <a16:creationId xmlns:a16="http://schemas.microsoft.com/office/drawing/2014/main" id="{9875EA9F-0EBA-41FA-9FEE-88C6CB26196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36220" y="2369820"/>
              <a:ext cx="1051560" cy="377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457200</xdr:colOff>
      <xdr:row>21</xdr:row>
      <xdr:rowOff>7620</xdr:rowOff>
    </xdr:from>
    <xdr:to>
      <xdr:col>24</xdr:col>
      <xdr:colOff>548640</xdr:colOff>
      <xdr:row>23</xdr:row>
      <xdr:rowOff>76200</xdr:rowOff>
    </xdr:to>
    <xdr:sp macro="" textlink="">
      <xdr:nvSpPr>
        <xdr:cNvPr id="87" name="TextBox 86">
          <a:extLst>
            <a:ext uri="{FF2B5EF4-FFF2-40B4-BE49-F238E27FC236}">
              <a16:creationId xmlns:a16="http://schemas.microsoft.com/office/drawing/2014/main" id="{F1B2DB68-5FA6-CB21-E80E-7AAD0C04A6B2}"/>
            </a:ext>
          </a:extLst>
        </xdr:cNvPr>
        <xdr:cNvSpPr txBox="1"/>
      </xdr:nvSpPr>
      <xdr:spPr>
        <a:xfrm>
          <a:off x="13868400" y="3848100"/>
          <a:ext cx="13106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283029</xdr:colOff>
      <xdr:row>0</xdr:row>
      <xdr:rowOff>131619</xdr:rowOff>
    </xdr:from>
    <xdr:to>
      <xdr:col>17</xdr:col>
      <xdr:colOff>489857</xdr:colOff>
      <xdr:row>6</xdr:row>
      <xdr:rowOff>96982</xdr:rowOff>
    </xdr:to>
    <xdr:grpSp>
      <xdr:nvGrpSpPr>
        <xdr:cNvPr id="110" name="Group 109">
          <a:extLst>
            <a:ext uri="{FF2B5EF4-FFF2-40B4-BE49-F238E27FC236}">
              <a16:creationId xmlns:a16="http://schemas.microsoft.com/office/drawing/2014/main" id="{48979ADC-2C97-1A55-EF2C-C086C9B6F81D}"/>
            </a:ext>
          </a:extLst>
        </xdr:cNvPr>
        <xdr:cNvGrpSpPr/>
      </xdr:nvGrpSpPr>
      <xdr:grpSpPr>
        <a:xfrm>
          <a:off x="283029" y="131619"/>
          <a:ext cx="10570028" cy="1062643"/>
          <a:chOff x="283029" y="131619"/>
          <a:chExt cx="10570028" cy="1046018"/>
        </a:xfrm>
      </xdr:grpSpPr>
      <xdr:pic>
        <xdr:nvPicPr>
          <xdr:cNvPr id="24" name="Graphic 23" descr="Bar graph with upward trend with solid fill">
            <a:extLst>
              <a:ext uri="{FF2B5EF4-FFF2-40B4-BE49-F238E27FC236}">
                <a16:creationId xmlns:a16="http://schemas.microsoft.com/office/drawing/2014/main" id="{16708464-38CC-C894-B898-E192413A559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372600" y="174172"/>
            <a:ext cx="1480457" cy="889659"/>
          </a:xfrm>
          <a:prstGeom prst="rect">
            <a:avLst/>
          </a:prstGeom>
        </xdr:spPr>
      </xdr:pic>
      <xdr:grpSp>
        <xdr:nvGrpSpPr>
          <xdr:cNvPr id="109" name="Group 108">
            <a:extLst>
              <a:ext uri="{FF2B5EF4-FFF2-40B4-BE49-F238E27FC236}">
                <a16:creationId xmlns:a16="http://schemas.microsoft.com/office/drawing/2014/main" id="{914292B4-09E0-E9DF-04A8-9B16338B1CEB}"/>
              </a:ext>
            </a:extLst>
          </xdr:cNvPr>
          <xdr:cNvGrpSpPr/>
        </xdr:nvGrpSpPr>
        <xdr:grpSpPr>
          <a:xfrm>
            <a:off x="283029" y="131619"/>
            <a:ext cx="8812480" cy="1046018"/>
            <a:chOff x="283029" y="131619"/>
            <a:chExt cx="8812480" cy="1046018"/>
          </a:xfrm>
        </xdr:grpSpPr>
        <xdr:sp macro="" textlink="">
          <xdr:nvSpPr>
            <xdr:cNvPr id="16" name="TextBox 15">
              <a:extLst>
                <a:ext uri="{FF2B5EF4-FFF2-40B4-BE49-F238E27FC236}">
                  <a16:creationId xmlns:a16="http://schemas.microsoft.com/office/drawing/2014/main" id="{EE50AC27-E35A-41A6-D57F-11615B28E083}"/>
                </a:ext>
              </a:extLst>
            </xdr:cNvPr>
            <xdr:cNvSpPr txBox="1"/>
          </xdr:nvSpPr>
          <xdr:spPr>
            <a:xfrm>
              <a:off x="1197429" y="141514"/>
              <a:ext cx="3189514" cy="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PERSONAL</a:t>
              </a:r>
              <a:r>
                <a:rPr lang="en-IN" sz="2800" b="1" baseline="0">
                  <a:solidFill>
                    <a:schemeClr val="tx1"/>
                  </a:solidFill>
                </a:rPr>
                <a:t> FINANCE</a:t>
              </a:r>
              <a:endParaRPr lang="en-IN" sz="2800" b="1">
                <a:solidFill>
                  <a:schemeClr val="tx1"/>
                </a:solidFill>
              </a:endParaRPr>
            </a:p>
          </xdr:txBody>
        </xdr:sp>
        <xdr:sp macro="" textlink="">
          <xdr:nvSpPr>
            <xdr:cNvPr id="21" name="TextBox 20">
              <a:extLst>
                <a:ext uri="{FF2B5EF4-FFF2-40B4-BE49-F238E27FC236}">
                  <a16:creationId xmlns:a16="http://schemas.microsoft.com/office/drawing/2014/main" id="{43AD0764-0F76-2693-0D28-C9B23015925D}"/>
                </a:ext>
              </a:extLst>
            </xdr:cNvPr>
            <xdr:cNvSpPr txBox="1"/>
          </xdr:nvSpPr>
          <xdr:spPr>
            <a:xfrm>
              <a:off x="1219201" y="512619"/>
              <a:ext cx="3091542" cy="51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400" b="1">
                  <a:solidFill>
                    <a:schemeClr val="tx2">
                      <a:lumMod val="50000"/>
                      <a:lumOff val="50000"/>
                    </a:schemeClr>
                  </a:solidFill>
                </a:rPr>
                <a:t>DASHBOARD</a:t>
              </a:r>
            </a:p>
          </xdr:txBody>
        </xdr:sp>
        <xdr:sp macro="" textlink="">
          <xdr:nvSpPr>
            <xdr:cNvPr id="22" name="TextBox 21">
              <a:extLst>
                <a:ext uri="{FF2B5EF4-FFF2-40B4-BE49-F238E27FC236}">
                  <a16:creationId xmlns:a16="http://schemas.microsoft.com/office/drawing/2014/main" id="{CAEA3418-E6B3-949E-F834-8D05C7B6D91B}"/>
                </a:ext>
              </a:extLst>
            </xdr:cNvPr>
            <xdr:cNvSpPr txBox="1"/>
          </xdr:nvSpPr>
          <xdr:spPr>
            <a:xfrm>
              <a:off x="4381501" y="141514"/>
              <a:ext cx="1624444" cy="93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2">
                      <a:lumMod val="50000"/>
                    </a:schemeClr>
                  </a:solidFill>
                </a:rPr>
                <a:t>TRACK</a:t>
              </a:r>
              <a:r>
                <a:rPr lang="en-IN" sz="1800" b="1" baseline="0">
                  <a:solidFill>
                    <a:schemeClr val="bg2">
                      <a:lumMod val="50000"/>
                    </a:schemeClr>
                  </a:solidFill>
                </a:rPr>
                <a:t>   ANALYSE</a:t>
              </a:r>
            </a:p>
            <a:p>
              <a:pPr algn="l"/>
              <a:r>
                <a:rPr lang="en-IN" sz="1800" b="1" baseline="0">
                  <a:solidFill>
                    <a:schemeClr val="bg2">
                      <a:lumMod val="50000"/>
                    </a:schemeClr>
                  </a:solidFill>
                </a:rPr>
                <a:t>SAVE      GROW</a:t>
              </a:r>
              <a:endParaRPr lang="en-IN" sz="1800" b="1">
                <a:solidFill>
                  <a:schemeClr val="bg2">
                    <a:lumMod val="50000"/>
                  </a:schemeClr>
                </a:solidFill>
              </a:endParaRPr>
            </a:p>
          </xdr:txBody>
        </xdr:sp>
        <xdr:pic>
          <xdr:nvPicPr>
            <xdr:cNvPr id="28" name="Graphic 27" descr="Gauge with solid fill">
              <a:extLst>
                <a:ext uri="{FF2B5EF4-FFF2-40B4-BE49-F238E27FC236}">
                  <a16:creationId xmlns:a16="http://schemas.microsoft.com/office/drawing/2014/main" id="{80257E49-C15C-5978-8DA5-7FFCDBC8ABB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83029" y="152400"/>
              <a:ext cx="914400" cy="889659"/>
            </a:xfrm>
            <a:prstGeom prst="rect">
              <a:avLst/>
            </a:prstGeom>
          </xdr:spPr>
        </xdr:pic>
        <xdr:grpSp>
          <xdr:nvGrpSpPr>
            <xdr:cNvPr id="108" name="Group 107">
              <a:extLst>
                <a:ext uri="{FF2B5EF4-FFF2-40B4-BE49-F238E27FC236}">
                  <a16:creationId xmlns:a16="http://schemas.microsoft.com/office/drawing/2014/main" id="{5173E67F-1777-3217-0566-A58458332C7E}"/>
                </a:ext>
              </a:extLst>
            </xdr:cNvPr>
            <xdr:cNvGrpSpPr/>
          </xdr:nvGrpSpPr>
          <xdr:grpSpPr>
            <a:xfrm>
              <a:off x="5999018" y="131619"/>
              <a:ext cx="3096491" cy="1046018"/>
              <a:chOff x="12443460" y="2160562"/>
              <a:chExt cx="2984109" cy="1277816"/>
            </a:xfrm>
          </xdr:grpSpPr>
          <xdr:pic>
            <xdr:nvPicPr>
              <xdr:cNvPr id="72" name="Graphic 71" descr="Bar graph with upward trend with solid fill">
                <a:extLst>
                  <a:ext uri="{FF2B5EF4-FFF2-40B4-BE49-F238E27FC236}">
                    <a16:creationId xmlns:a16="http://schemas.microsoft.com/office/drawing/2014/main" id="{59C52A8D-0300-C634-F6C1-2CFC41B3153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668178" y="2801450"/>
                <a:ext cx="279960" cy="278202"/>
              </a:xfrm>
              <a:prstGeom prst="rect">
                <a:avLst/>
              </a:prstGeom>
            </xdr:spPr>
          </xdr:pic>
          <xdr:pic>
            <xdr:nvPicPr>
              <xdr:cNvPr id="74" name="Graphic 73" descr="Bullseye with solid fill">
                <a:extLst>
                  <a:ext uri="{FF2B5EF4-FFF2-40B4-BE49-F238E27FC236}">
                    <a16:creationId xmlns:a16="http://schemas.microsoft.com/office/drawing/2014/main" id="{96E36524-0CD8-D3E6-B62C-DBDEC9DCCE9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4195640" y="2794361"/>
                <a:ext cx="279960" cy="278202"/>
              </a:xfrm>
              <a:prstGeom prst="rect">
                <a:avLst/>
              </a:prstGeom>
            </xdr:spPr>
          </xdr:pic>
          <xdr:pic>
            <xdr:nvPicPr>
              <xdr:cNvPr id="76" name="Graphic 75" descr="Database with solid fill">
                <a:extLst>
                  <a:ext uri="{FF2B5EF4-FFF2-40B4-BE49-F238E27FC236}">
                    <a16:creationId xmlns:a16="http://schemas.microsoft.com/office/drawing/2014/main" id="{5386B02A-8CEA-1A94-04BC-C4303EF0D02B}"/>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952309" y="2743897"/>
                <a:ext cx="279960" cy="278202"/>
              </a:xfrm>
              <a:prstGeom prst="rect">
                <a:avLst/>
              </a:prstGeom>
            </xdr:spPr>
          </xdr:pic>
          <xdr:pic>
            <xdr:nvPicPr>
              <xdr:cNvPr id="78" name="Graphic 77" descr="Presentation with bar chart with solid fill">
                <a:extLst>
                  <a:ext uri="{FF2B5EF4-FFF2-40B4-BE49-F238E27FC236}">
                    <a16:creationId xmlns:a16="http://schemas.microsoft.com/office/drawing/2014/main" id="{FB476D3B-87CF-A57C-ECD8-DB3EAE44B5FF}"/>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3459320" y="2789561"/>
                <a:ext cx="279960" cy="278202"/>
              </a:xfrm>
              <a:prstGeom prst="rect">
                <a:avLst/>
              </a:prstGeom>
            </xdr:spPr>
          </xdr:pic>
          <xdr:pic>
            <xdr:nvPicPr>
              <xdr:cNvPr id="80" name="Graphic 79" descr="Arrow circle with solid fill">
                <a:extLst>
                  <a:ext uri="{FF2B5EF4-FFF2-40B4-BE49-F238E27FC236}">
                    <a16:creationId xmlns:a16="http://schemas.microsoft.com/office/drawing/2014/main" id="{8443CA5E-E621-9268-51B6-1FD542EBA99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3141569" y="2160562"/>
                <a:ext cx="263770" cy="262114"/>
              </a:xfrm>
              <a:prstGeom prst="rect">
                <a:avLst/>
              </a:prstGeom>
            </xdr:spPr>
          </xdr:pic>
          <xdr:pic>
            <xdr:nvPicPr>
              <xdr:cNvPr id="84" name="Graphic 83" descr="Laptop with solid fill">
                <a:extLst>
                  <a:ext uri="{FF2B5EF4-FFF2-40B4-BE49-F238E27FC236}">
                    <a16:creationId xmlns:a16="http://schemas.microsoft.com/office/drawing/2014/main" id="{80B0ECDB-0834-24CA-799B-8C0F4A4B9431}"/>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903459" y="2189760"/>
                <a:ext cx="279960" cy="278202"/>
              </a:xfrm>
              <a:prstGeom prst="rect">
                <a:avLst/>
              </a:prstGeom>
            </xdr:spPr>
          </xdr:pic>
          <xdr:pic>
            <xdr:nvPicPr>
              <xdr:cNvPr id="86" name="Graphic 85" descr="Lock with solid fill">
                <a:extLst>
                  <a:ext uri="{FF2B5EF4-FFF2-40B4-BE49-F238E27FC236}">
                    <a16:creationId xmlns:a16="http://schemas.microsoft.com/office/drawing/2014/main" id="{3A40CE7D-E735-10AA-0CD4-3AA080AA77F2}"/>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4601842" y="2226473"/>
                <a:ext cx="238796" cy="237916"/>
              </a:xfrm>
              <a:prstGeom prst="rect">
                <a:avLst/>
              </a:prstGeom>
            </xdr:spPr>
          </xdr:pic>
          <xdr:sp macro="[0]!RefreshDashboard" textlink="">
            <xdr:nvSpPr>
              <xdr:cNvPr id="91" name="TextBox 90">
                <a:extLst>
                  <a:ext uri="{FF2B5EF4-FFF2-40B4-BE49-F238E27FC236}">
                    <a16:creationId xmlns:a16="http://schemas.microsoft.com/office/drawing/2014/main" id="{0FB155C2-4C82-1C50-B262-8BAD0858AF4A}"/>
                  </a:ext>
                </a:extLst>
              </xdr:cNvPr>
              <xdr:cNvSpPr txBox="1"/>
            </xdr:nvSpPr>
            <xdr:spPr>
              <a:xfrm>
                <a:off x="12961620" y="2461846"/>
                <a:ext cx="689903" cy="188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Refresh</a:t>
                </a:r>
              </a:p>
            </xdr:txBody>
          </xdr:sp>
          <xdr:sp macro="[0]!ToggleFullScreen" textlink="">
            <xdr:nvSpPr>
              <xdr:cNvPr id="92" name="TextBox 91">
                <a:extLst>
                  <a:ext uri="{FF2B5EF4-FFF2-40B4-BE49-F238E27FC236}">
                    <a16:creationId xmlns:a16="http://schemas.microsoft.com/office/drawing/2014/main" id="{1F95086A-28CE-3D22-771F-0645274F38CF}"/>
                  </a:ext>
                </a:extLst>
              </xdr:cNvPr>
              <xdr:cNvSpPr txBox="1"/>
            </xdr:nvSpPr>
            <xdr:spPr>
              <a:xfrm>
                <a:off x="13680830" y="2461846"/>
                <a:ext cx="797169" cy="169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Full Screen</a:t>
                </a:r>
              </a:p>
            </xdr:txBody>
          </xdr:sp>
          <xdr:sp macro="[0]!ToggleProtect" textlink="">
            <xdr:nvSpPr>
              <xdr:cNvPr id="93" name="TextBox 92">
                <a:extLst>
                  <a:ext uri="{FF2B5EF4-FFF2-40B4-BE49-F238E27FC236}">
                    <a16:creationId xmlns:a16="http://schemas.microsoft.com/office/drawing/2014/main" id="{3FF7E4CC-437A-15A3-9142-2D12F31DE9D0}"/>
                  </a:ext>
                </a:extLst>
              </xdr:cNvPr>
              <xdr:cNvSpPr txBox="1"/>
            </xdr:nvSpPr>
            <xdr:spPr>
              <a:xfrm>
                <a:off x="14447520" y="2479431"/>
                <a:ext cx="593188" cy="152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Protect</a:t>
                </a:r>
              </a:p>
            </xdr:txBody>
          </xdr:sp>
          <xdr:sp macro="" textlink="">
            <xdr:nvSpPr>
              <xdr:cNvPr id="94" name="TextBox 93">
                <a:hlinkClick xmlns:r="http://schemas.openxmlformats.org/officeDocument/2006/relationships" r:id="rId36"/>
                <a:extLst>
                  <a:ext uri="{FF2B5EF4-FFF2-40B4-BE49-F238E27FC236}">
                    <a16:creationId xmlns:a16="http://schemas.microsoft.com/office/drawing/2014/main" id="{0FDB348D-EB4D-C6E3-D982-707F9DA56C54}"/>
                  </a:ext>
                </a:extLst>
              </xdr:cNvPr>
              <xdr:cNvSpPr txBox="1"/>
            </xdr:nvSpPr>
            <xdr:spPr>
              <a:xfrm>
                <a:off x="14823830" y="3096651"/>
                <a:ext cx="603739"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Data</a:t>
                </a:r>
              </a:p>
            </xdr:txBody>
          </xdr:sp>
          <xdr:sp macro="" textlink="">
            <xdr:nvSpPr>
              <xdr:cNvPr id="95" name="TextBox 94">
                <a:hlinkClick xmlns:r="http://schemas.openxmlformats.org/officeDocument/2006/relationships" r:id="rId37"/>
                <a:extLst>
                  <a:ext uri="{FF2B5EF4-FFF2-40B4-BE49-F238E27FC236}">
                    <a16:creationId xmlns:a16="http://schemas.microsoft.com/office/drawing/2014/main" id="{98193725-ECC1-BB5B-F25E-DECED35684DF}"/>
                  </a:ext>
                </a:extLst>
              </xdr:cNvPr>
              <xdr:cNvSpPr txBox="1"/>
            </xdr:nvSpPr>
            <xdr:spPr>
              <a:xfrm>
                <a:off x="13997940" y="3044483"/>
                <a:ext cx="726245" cy="393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Financial </a:t>
                </a:r>
                <a:r>
                  <a:rPr lang="en-IN" sz="900" b="1">
                    <a:solidFill>
                      <a:schemeClr val="tx2">
                        <a:lumMod val="90000"/>
                        <a:lumOff val="10000"/>
                      </a:schemeClr>
                    </a:solidFill>
                  </a:rPr>
                  <a:t>Goals</a:t>
                </a:r>
              </a:p>
            </xdr:txBody>
          </xdr:sp>
          <xdr:sp macro="" textlink="">
            <xdr:nvSpPr>
              <xdr:cNvPr id="96" name="TextBox 95">
                <a:hlinkClick xmlns:r="http://schemas.openxmlformats.org/officeDocument/2006/relationships" r:id="rId38"/>
                <a:extLst>
                  <a:ext uri="{FF2B5EF4-FFF2-40B4-BE49-F238E27FC236}">
                    <a16:creationId xmlns:a16="http://schemas.microsoft.com/office/drawing/2014/main" id="{E31EC871-7395-C740-9902-A3AD132D4D34}"/>
                  </a:ext>
                </a:extLst>
              </xdr:cNvPr>
              <xdr:cNvSpPr txBox="1"/>
            </xdr:nvSpPr>
            <xdr:spPr>
              <a:xfrm>
                <a:off x="13243560" y="3119511"/>
                <a:ext cx="769620" cy="23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tx2">
                        <a:lumMod val="90000"/>
                        <a:lumOff val="10000"/>
                      </a:schemeClr>
                    </a:solidFill>
                  </a:rPr>
                  <a:t>Summary</a:t>
                </a:r>
              </a:p>
            </xdr:txBody>
          </xdr:sp>
          <xdr:sp macro="" textlink="">
            <xdr:nvSpPr>
              <xdr:cNvPr id="97" name="TextBox 96">
                <a:hlinkClick xmlns:r="http://schemas.openxmlformats.org/officeDocument/2006/relationships" r:id="rId39"/>
                <a:extLst>
                  <a:ext uri="{FF2B5EF4-FFF2-40B4-BE49-F238E27FC236}">
                    <a16:creationId xmlns:a16="http://schemas.microsoft.com/office/drawing/2014/main" id="{F55ED5E8-53CC-F32A-5173-6B88DBA309F9}"/>
                  </a:ext>
                </a:extLst>
              </xdr:cNvPr>
              <xdr:cNvSpPr txBox="1"/>
            </xdr:nvSpPr>
            <xdr:spPr>
              <a:xfrm>
                <a:off x="12443460" y="3096651"/>
                <a:ext cx="769620" cy="235047"/>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2"/>
                    </a:solidFill>
                  </a:rPr>
                  <a:t>Dashboard</a:t>
                </a:r>
              </a:p>
            </xdr:txBody>
          </xdr: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refreshedDate="46317.037895833331" createdVersion="8" refreshedVersion="8" minRefreshableVersion="3" recordCount="624" xr:uid="{DE5EBB48-2F59-4D52-B1AB-2951272B3E49}">
  <cacheSource type="worksheet">
    <worksheetSource name="finance"/>
  </cacheSource>
  <cacheFields count="10">
    <cacheField name="Year" numFmtId="0">
      <sharedItems containsSemiMixedTypes="0" containsString="0" containsNumber="1" containsInteger="1" minValue="2025" maxValue="2026" count="2">
        <n v="2025"/>
        <n v="2026"/>
      </sharedItems>
    </cacheField>
    <cacheField name="Month" numFmtId="0">
      <sharedItems count="12">
        <s v="Jun"/>
        <s v="Jul"/>
        <s v="Aug"/>
        <s v="Sep"/>
        <s v="Oct"/>
        <s v="Nov"/>
        <s v="Dec"/>
        <s v="Jan"/>
        <s v="Feb"/>
        <s v="Mar"/>
        <s v="Apr"/>
        <s v="May"/>
      </sharedItems>
    </cacheField>
    <cacheField name="Date" numFmtId="15">
      <sharedItems containsSemiMixedTypes="0" containsNonDate="0" containsDate="1" containsString="0" minDate="2025-01-01T00:00:00" maxDate="2026-12-29T00:00:00"/>
    </cacheField>
    <cacheField name="Type" numFmtId="0">
      <sharedItems count="3">
        <s v="Income"/>
        <s v="Expense"/>
        <s v="Investment"/>
      </sharedItems>
    </cacheField>
    <cacheField name="Category" numFmtId="0">
      <sharedItems count="10">
        <s v="Salary"/>
        <s v="Housing"/>
        <s v="Food"/>
        <s v="Transportation"/>
        <s v="Utilities"/>
        <s v="Shopping"/>
        <s v="Others"/>
        <s v="Insurance"/>
        <s v="EMI/Debt"/>
        <s v="Investments"/>
      </sharedItems>
    </cacheField>
    <cacheField name="Subcategory" numFmtId="0">
      <sharedItems count="27">
        <s v="Salary"/>
        <s v="Rent"/>
        <s v="Maintenance"/>
        <s v="Groceries"/>
        <s v="Restaurants"/>
        <s v="Food Delivery"/>
        <s v="Fuel"/>
        <s v="Cab"/>
        <s v="Metro/Bus"/>
        <s v="Electricity"/>
        <s v="Internet"/>
        <s v="Mobile"/>
        <s v="Gas"/>
        <s v="Clothing"/>
        <s v="Household"/>
        <s v="Pharmacy"/>
        <s v="OTT"/>
        <s v="Movies"/>
        <s v="Courses"/>
        <s v="Health Insurance"/>
        <s v="Life Insurance"/>
        <s v="Personal Loan EMI"/>
        <s v="Mutual Fund"/>
        <s v="Index Fund"/>
        <s v="PPF"/>
        <s v="Gold"/>
        <s v="Others"/>
      </sharedItems>
    </cacheField>
    <cacheField name="Description" numFmtId="0">
      <sharedItems/>
    </cacheField>
    <cacheField name="Amount" numFmtId="165">
      <sharedItems containsSemiMixedTypes="0" containsString="0" containsNumber="1" minValue="18.899999999999999" maxValue="112500"/>
    </cacheField>
    <cacheField name="Payment Method" numFmtId="0">
      <sharedItems/>
    </cacheField>
    <cacheField name="Status" numFmtId="0">
      <sharedItems/>
    </cacheField>
  </cacheFields>
  <extLst>
    <ext xmlns:x14="http://schemas.microsoft.com/office/spreadsheetml/2009/9/main" uri="{725AE2AE-9491-48be-B2B4-4EB974FC3084}">
      <x14:pivotCacheDefinition pivotCacheId="597216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4">
  <r>
    <x v="0"/>
    <x v="0"/>
    <d v="2025-06-01T00:00:00"/>
    <x v="0"/>
    <x v="0"/>
    <x v="0"/>
    <s v="Employer"/>
    <n v="29801"/>
    <s v="Bank Transfer"/>
    <s v="Completed"/>
  </r>
  <r>
    <x v="0"/>
    <x v="0"/>
    <d v="2025-06-04T00:00:00"/>
    <x v="1"/>
    <x v="1"/>
    <x v="1"/>
    <s v="Landlord"/>
    <n v="7760.7"/>
    <s v="UPI"/>
    <s v="Completed"/>
  </r>
  <r>
    <x v="0"/>
    <x v="0"/>
    <d v="2025-06-18T00:00:00"/>
    <x v="1"/>
    <x v="1"/>
    <x v="2"/>
    <s v="Apartment Association"/>
    <n v="540.9"/>
    <s v="Bank Transfer"/>
    <s v="Completed"/>
  </r>
  <r>
    <x v="0"/>
    <x v="0"/>
    <d v="2025-06-08T00:00:00"/>
    <x v="1"/>
    <x v="2"/>
    <x v="3"/>
    <s v="BigBasket"/>
    <n v="1988.1"/>
    <s v="Bank Transfer"/>
    <s v="Completed"/>
  </r>
  <r>
    <x v="0"/>
    <x v="0"/>
    <d v="2025-06-24T00:00:00"/>
    <x v="1"/>
    <x v="2"/>
    <x v="4"/>
    <s v="Local Restaurant"/>
    <n v="877.5"/>
    <s v="Debit Card"/>
    <s v="Completed"/>
  </r>
  <r>
    <x v="0"/>
    <x v="0"/>
    <d v="2025-06-09T00:00:00"/>
    <x v="1"/>
    <x v="2"/>
    <x v="5"/>
    <s v="Zomato"/>
    <n v="471.6"/>
    <s v="Bank Transfer"/>
    <s v="Completed"/>
  </r>
  <r>
    <x v="0"/>
    <x v="0"/>
    <d v="2025-06-10T00:00:00"/>
    <x v="1"/>
    <x v="3"/>
    <x v="6"/>
    <s v="IndianOil"/>
    <n v="787.5"/>
    <s v="UPI"/>
    <s v="Completed"/>
  </r>
  <r>
    <x v="0"/>
    <x v="0"/>
    <d v="2025-06-24T00:00:00"/>
    <x v="1"/>
    <x v="3"/>
    <x v="7"/>
    <s v="Ola"/>
    <n v="291.60000000000002"/>
    <s v="Debit Card"/>
    <s v="Completed"/>
  </r>
  <r>
    <x v="0"/>
    <x v="0"/>
    <d v="2025-06-10T00:00:00"/>
    <x v="1"/>
    <x v="3"/>
    <x v="8"/>
    <s v="Namma Metro"/>
    <n v="284.39999999999998"/>
    <s v="UPI"/>
    <s v="Completed"/>
  </r>
  <r>
    <x v="0"/>
    <x v="0"/>
    <d v="2025-06-26T00:00:00"/>
    <x v="1"/>
    <x v="4"/>
    <x v="9"/>
    <s v="BESCOM"/>
    <n v="557.1"/>
    <s v="UPI"/>
    <s v="Completed"/>
  </r>
  <r>
    <x v="0"/>
    <x v="0"/>
    <d v="2025-06-04T00:00:00"/>
    <x v="1"/>
    <x v="4"/>
    <x v="10"/>
    <s v="JioFiber"/>
    <n v="266.39999999999998"/>
    <s v="UPI"/>
    <s v="Completed"/>
  </r>
  <r>
    <x v="0"/>
    <x v="0"/>
    <d v="2025-06-13T00:00:00"/>
    <x v="1"/>
    <x v="4"/>
    <x v="11"/>
    <s v="Jio"/>
    <n v="196.2"/>
    <s v="Bank Transfer"/>
    <s v="Completed"/>
  </r>
  <r>
    <x v="0"/>
    <x v="0"/>
    <d v="2025-06-10T00:00:00"/>
    <x v="1"/>
    <x v="4"/>
    <x v="12"/>
    <s v="Indane"/>
    <n v="276.3"/>
    <s v="Bank Transfer"/>
    <s v="Completed"/>
  </r>
  <r>
    <x v="0"/>
    <x v="0"/>
    <d v="2025-06-16T00:00:00"/>
    <x v="1"/>
    <x v="5"/>
    <x v="13"/>
    <s v="Myntra"/>
    <n v="1035"/>
    <s v="Debit Card"/>
    <s v="Completed"/>
  </r>
  <r>
    <x v="0"/>
    <x v="0"/>
    <d v="2025-06-04T00:00:00"/>
    <x v="1"/>
    <x v="5"/>
    <x v="14"/>
    <s v="DMart"/>
    <n v="368.1"/>
    <s v="Bank Transfer"/>
    <s v="Completed"/>
  </r>
  <r>
    <x v="0"/>
    <x v="0"/>
    <d v="2025-06-21T00:00:00"/>
    <x v="1"/>
    <x v="6"/>
    <x v="15"/>
    <s v="Netmeds"/>
    <n v="309.60000000000002"/>
    <s v="Bank Transfer"/>
    <s v="Completed"/>
  </r>
  <r>
    <x v="0"/>
    <x v="0"/>
    <d v="2025-06-08T00:00:00"/>
    <x v="1"/>
    <x v="6"/>
    <x v="16"/>
    <s v="Netflix"/>
    <n v="162"/>
    <s v="UPI"/>
    <s v="Completed"/>
  </r>
  <r>
    <x v="0"/>
    <x v="0"/>
    <d v="2025-06-23T00:00:00"/>
    <x v="1"/>
    <x v="6"/>
    <x v="17"/>
    <s v="BookMyShow"/>
    <n v="92.7"/>
    <s v="Debit Card"/>
    <s v="Completed"/>
  </r>
  <r>
    <x v="0"/>
    <x v="0"/>
    <d v="2025-06-04T00:00:00"/>
    <x v="1"/>
    <x v="6"/>
    <x v="18"/>
    <s v="Udemy"/>
    <n v="32.4"/>
    <s v="UPI"/>
    <s v="Completed"/>
  </r>
  <r>
    <x v="0"/>
    <x v="0"/>
    <d v="2025-06-14T00:00:00"/>
    <x v="1"/>
    <x v="7"/>
    <x v="19"/>
    <s v="Insurance Provider"/>
    <n v="700.2"/>
    <s v="Debit Card"/>
    <s v="Completed"/>
  </r>
  <r>
    <x v="0"/>
    <x v="0"/>
    <d v="2025-06-22T00:00:00"/>
    <x v="1"/>
    <x v="7"/>
    <x v="20"/>
    <s v="Insurance Provider"/>
    <n v="791.1"/>
    <s v="UPI"/>
    <s v="Completed"/>
  </r>
  <r>
    <x v="0"/>
    <x v="0"/>
    <d v="2025-06-13T00:00:00"/>
    <x v="1"/>
    <x v="8"/>
    <x v="21"/>
    <s v="Bank EMI"/>
    <n v="2356.1999999999998"/>
    <s v="UPI"/>
    <s v="Completed"/>
  </r>
  <r>
    <x v="0"/>
    <x v="0"/>
    <d v="2025-06-24T00:00:00"/>
    <x v="2"/>
    <x v="9"/>
    <x v="22"/>
    <s v="AMC SIP"/>
    <n v="2591"/>
    <s v="Auto Debit"/>
    <s v="Completed"/>
  </r>
  <r>
    <x v="0"/>
    <x v="0"/>
    <d v="2025-06-25T00:00:00"/>
    <x v="2"/>
    <x v="9"/>
    <x v="23"/>
    <s v="AMC SIP"/>
    <n v="1703"/>
    <s v="Auto Debit"/>
    <s v="Completed"/>
  </r>
  <r>
    <x v="0"/>
    <x v="0"/>
    <d v="2025-06-22T00:00:00"/>
    <x v="2"/>
    <x v="9"/>
    <x v="24"/>
    <s v="PPF Account"/>
    <n v="962"/>
    <s v="Auto Debit"/>
    <s v="Completed"/>
  </r>
  <r>
    <x v="0"/>
    <x v="0"/>
    <d v="2025-06-20T00:00:00"/>
    <x v="2"/>
    <x v="9"/>
    <x v="25"/>
    <s v="Gold Investment"/>
    <n v="562"/>
    <s v="Auto Debit"/>
    <s v="Completed"/>
  </r>
  <r>
    <x v="0"/>
    <x v="1"/>
    <d v="2025-07-01T00:00:00"/>
    <x v="0"/>
    <x v="0"/>
    <x v="0"/>
    <s v="Employer"/>
    <n v="32139"/>
    <s v="Bank Transfer"/>
    <s v="Completed"/>
  </r>
  <r>
    <x v="0"/>
    <x v="1"/>
    <d v="2025-07-10T00:00:00"/>
    <x v="1"/>
    <x v="1"/>
    <x v="1"/>
    <s v="Landlord"/>
    <n v="8099.1"/>
    <s v="UPI"/>
    <s v="Completed"/>
  </r>
  <r>
    <x v="0"/>
    <x v="1"/>
    <d v="2025-07-20T00:00:00"/>
    <x v="1"/>
    <x v="1"/>
    <x v="2"/>
    <s v="Apartment Association"/>
    <n v="747.9"/>
    <s v="UPI"/>
    <s v="Completed"/>
  </r>
  <r>
    <x v="0"/>
    <x v="1"/>
    <d v="2025-07-22T00:00:00"/>
    <x v="1"/>
    <x v="2"/>
    <x v="3"/>
    <s v="Reliance Smart"/>
    <n v="2450.6999999999998"/>
    <s v="Debit Card"/>
    <s v="Completed"/>
  </r>
  <r>
    <x v="0"/>
    <x v="1"/>
    <d v="2025-07-22T00:00:00"/>
    <x v="1"/>
    <x v="2"/>
    <x v="4"/>
    <s v="Zomato"/>
    <n v="909.9"/>
    <s v="UPI"/>
    <s v="Completed"/>
  </r>
  <r>
    <x v="0"/>
    <x v="1"/>
    <d v="2025-07-10T00:00:00"/>
    <x v="1"/>
    <x v="2"/>
    <x v="5"/>
    <s v="Swiggy"/>
    <n v="727.2"/>
    <s v="UPI"/>
    <s v="Completed"/>
  </r>
  <r>
    <x v="0"/>
    <x v="1"/>
    <d v="2025-07-25T00:00:00"/>
    <x v="1"/>
    <x v="3"/>
    <x v="6"/>
    <s v="BPCL"/>
    <n v="1064.7"/>
    <s v="Bank Transfer"/>
    <s v="Completed"/>
  </r>
  <r>
    <x v="0"/>
    <x v="1"/>
    <d v="2025-07-10T00:00:00"/>
    <x v="1"/>
    <x v="3"/>
    <x v="7"/>
    <s v="Ola"/>
    <n v="421.2"/>
    <s v="Bank Transfer"/>
    <s v="Completed"/>
  </r>
  <r>
    <x v="0"/>
    <x v="1"/>
    <d v="2025-07-14T00:00:00"/>
    <x v="1"/>
    <x v="3"/>
    <x v="8"/>
    <s v="BMTC"/>
    <n v="224.1"/>
    <s v="UPI"/>
    <s v="Completed"/>
  </r>
  <r>
    <x v="0"/>
    <x v="1"/>
    <d v="2025-07-06T00:00:00"/>
    <x v="1"/>
    <x v="4"/>
    <x v="9"/>
    <s v="BESCOM"/>
    <n v="712.8"/>
    <s v="UPI"/>
    <s v="Completed"/>
  </r>
  <r>
    <x v="0"/>
    <x v="1"/>
    <d v="2025-07-26T00:00:00"/>
    <x v="1"/>
    <x v="4"/>
    <x v="10"/>
    <s v="Airtel"/>
    <n v="272.7"/>
    <s v="UPI"/>
    <s v="Completed"/>
  </r>
  <r>
    <x v="0"/>
    <x v="1"/>
    <d v="2025-07-06T00:00:00"/>
    <x v="1"/>
    <x v="4"/>
    <x v="11"/>
    <s v="Airtel"/>
    <n v="200.7"/>
    <s v="Bank Transfer"/>
    <s v="Completed"/>
  </r>
  <r>
    <x v="0"/>
    <x v="1"/>
    <d v="2025-07-15T00:00:00"/>
    <x v="1"/>
    <x v="4"/>
    <x v="12"/>
    <s v="Indane"/>
    <n v="301.5"/>
    <s v="Debit Card"/>
    <s v="Completed"/>
  </r>
  <r>
    <x v="0"/>
    <x v="1"/>
    <d v="2025-07-14T00:00:00"/>
    <x v="1"/>
    <x v="5"/>
    <x v="13"/>
    <s v="AJIO"/>
    <n v="500.4"/>
    <s v="Bank Transfer"/>
    <s v="Completed"/>
  </r>
  <r>
    <x v="0"/>
    <x v="1"/>
    <d v="2025-07-10T00:00:00"/>
    <x v="1"/>
    <x v="5"/>
    <x v="14"/>
    <s v="Amazon"/>
    <n v="454.5"/>
    <s v="Bank Transfer"/>
    <s v="Completed"/>
  </r>
  <r>
    <x v="0"/>
    <x v="1"/>
    <d v="2025-07-25T00:00:00"/>
    <x v="1"/>
    <x v="6"/>
    <x v="15"/>
    <s v="Apollo Pharmacy"/>
    <n v="384.3"/>
    <s v="Bank Transfer"/>
    <s v="Completed"/>
  </r>
  <r>
    <x v="0"/>
    <x v="1"/>
    <d v="2025-07-19T00:00:00"/>
    <x v="1"/>
    <x v="6"/>
    <x v="16"/>
    <s v="Amazon Prime"/>
    <n v="114.3"/>
    <s v="Bank Transfer"/>
    <s v="Completed"/>
  </r>
  <r>
    <x v="0"/>
    <x v="1"/>
    <d v="2025-07-12T00:00:00"/>
    <x v="1"/>
    <x v="6"/>
    <x v="17"/>
    <s v="BookMyShow"/>
    <n v="180.9"/>
    <s v="Debit Card"/>
    <s v="Completed"/>
  </r>
  <r>
    <x v="0"/>
    <x v="1"/>
    <d v="2025-07-15T00:00:00"/>
    <x v="1"/>
    <x v="6"/>
    <x v="18"/>
    <s v="Udemy"/>
    <n v="448.2"/>
    <s v="Debit Card"/>
    <s v="Completed"/>
  </r>
  <r>
    <x v="0"/>
    <x v="1"/>
    <d v="2025-07-02T00:00:00"/>
    <x v="1"/>
    <x v="7"/>
    <x v="19"/>
    <s v="Insurance Provider"/>
    <n v="717.3"/>
    <s v="Bank Transfer"/>
    <s v="Completed"/>
  </r>
  <r>
    <x v="0"/>
    <x v="1"/>
    <d v="2025-07-26T00:00:00"/>
    <x v="1"/>
    <x v="7"/>
    <x v="20"/>
    <s v="Insurance Provider"/>
    <n v="826.2"/>
    <s v="Bank Transfer"/>
    <s v="Completed"/>
  </r>
  <r>
    <x v="0"/>
    <x v="1"/>
    <d v="2025-07-05T00:00:00"/>
    <x v="1"/>
    <x v="8"/>
    <x v="21"/>
    <s v="Bank EMI"/>
    <n v="2459.6999999999998"/>
    <s v="Bank Transfer"/>
    <s v="Completed"/>
  </r>
  <r>
    <x v="0"/>
    <x v="1"/>
    <d v="2025-07-19T00:00:00"/>
    <x v="2"/>
    <x v="9"/>
    <x v="22"/>
    <s v="AMC SIP"/>
    <n v="2821"/>
    <s v="Auto Debit"/>
    <s v="Completed"/>
  </r>
  <r>
    <x v="0"/>
    <x v="1"/>
    <d v="2025-07-07T00:00:00"/>
    <x v="2"/>
    <x v="9"/>
    <x v="23"/>
    <s v="AMC SIP"/>
    <n v="1854"/>
    <s v="Auto Debit"/>
    <s v="Completed"/>
  </r>
  <r>
    <x v="0"/>
    <x v="1"/>
    <d v="2025-07-27T00:00:00"/>
    <x v="2"/>
    <x v="9"/>
    <x v="24"/>
    <s v="PPF Account"/>
    <n v="1069"/>
    <s v="Auto Debit"/>
    <s v="Completed"/>
  </r>
  <r>
    <x v="0"/>
    <x v="1"/>
    <d v="2025-07-20T00:00:00"/>
    <x v="2"/>
    <x v="9"/>
    <x v="25"/>
    <s v="Gold Investment"/>
    <n v="624"/>
    <s v="Auto Debit"/>
    <s v="Completed"/>
  </r>
  <r>
    <x v="0"/>
    <x v="2"/>
    <d v="2025-08-01T00:00:00"/>
    <x v="0"/>
    <x v="0"/>
    <x v="0"/>
    <s v="Employer"/>
    <n v="29337"/>
    <s v="Bank Transfer"/>
    <s v="Completed"/>
  </r>
  <r>
    <x v="0"/>
    <x v="2"/>
    <d v="2025-08-25T00:00:00"/>
    <x v="1"/>
    <x v="1"/>
    <x v="1"/>
    <s v="Landlord"/>
    <n v="3769.2"/>
    <s v="UPI"/>
    <s v="Completed"/>
  </r>
  <r>
    <x v="0"/>
    <x v="2"/>
    <d v="2025-08-26T00:00:00"/>
    <x v="1"/>
    <x v="1"/>
    <x v="2"/>
    <s v="Apartment Association"/>
    <n v="851.4"/>
    <s v="UPI"/>
    <s v="Completed"/>
  </r>
  <r>
    <x v="0"/>
    <x v="2"/>
    <d v="2025-08-23T00:00:00"/>
    <x v="1"/>
    <x v="2"/>
    <x v="3"/>
    <s v="Reliance Smart"/>
    <n v="3269.7"/>
    <s v="Bank Transfer"/>
    <s v="Completed"/>
  </r>
  <r>
    <x v="0"/>
    <x v="2"/>
    <d v="2025-08-07T00:00:00"/>
    <x v="1"/>
    <x v="2"/>
    <x v="4"/>
    <s v="Zomato"/>
    <n v="779.4"/>
    <s v="Bank Transfer"/>
    <s v="Completed"/>
  </r>
  <r>
    <x v="0"/>
    <x v="2"/>
    <d v="2025-08-21T00:00:00"/>
    <x v="1"/>
    <x v="2"/>
    <x v="5"/>
    <s v="Zomato"/>
    <n v="513.9"/>
    <s v="UPI"/>
    <s v="Completed"/>
  </r>
  <r>
    <x v="0"/>
    <x v="2"/>
    <d v="2025-08-19T00:00:00"/>
    <x v="1"/>
    <x v="3"/>
    <x v="6"/>
    <s v="BPCL"/>
    <n v="1121.4000000000001"/>
    <s v="Bank Transfer"/>
    <s v="Completed"/>
  </r>
  <r>
    <x v="0"/>
    <x v="2"/>
    <d v="2025-08-08T00:00:00"/>
    <x v="1"/>
    <x v="3"/>
    <x v="7"/>
    <s v="Ola"/>
    <n v="653.4"/>
    <s v="Debit Card"/>
    <s v="Completed"/>
  </r>
  <r>
    <x v="0"/>
    <x v="2"/>
    <d v="2025-08-23T00:00:00"/>
    <x v="1"/>
    <x v="3"/>
    <x v="8"/>
    <s v="BMTC"/>
    <n v="385.2"/>
    <s v="Debit Card"/>
    <s v="Completed"/>
  </r>
  <r>
    <x v="0"/>
    <x v="2"/>
    <d v="2025-08-18T00:00:00"/>
    <x v="1"/>
    <x v="4"/>
    <x v="9"/>
    <s v="BESCOM"/>
    <n v="873.9"/>
    <s v="UPI"/>
    <s v="Completed"/>
  </r>
  <r>
    <x v="0"/>
    <x v="2"/>
    <d v="2025-08-09T00:00:00"/>
    <x v="1"/>
    <x v="4"/>
    <x v="10"/>
    <s v="Airtel"/>
    <n v="345.6"/>
    <s v="UPI"/>
    <s v="Completed"/>
  </r>
  <r>
    <x v="0"/>
    <x v="2"/>
    <d v="2025-08-12T00:00:00"/>
    <x v="1"/>
    <x v="4"/>
    <x v="11"/>
    <s v="Airtel"/>
    <n v="253.8"/>
    <s v="Bank Transfer"/>
    <s v="Completed"/>
  </r>
  <r>
    <x v="0"/>
    <x v="2"/>
    <d v="2025-08-19T00:00:00"/>
    <x v="1"/>
    <x v="4"/>
    <x v="12"/>
    <s v="Indane"/>
    <n v="281.7"/>
    <s v="Bank Transfer"/>
    <s v="Completed"/>
  </r>
  <r>
    <x v="0"/>
    <x v="2"/>
    <d v="2025-08-09T00:00:00"/>
    <x v="1"/>
    <x v="5"/>
    <x v="13"/>
    <s v="Myntra"/>
    <n v="625.5"/>
    <s v="UPI"/>
    <s v="Completed"/>
  </r>
  <r>
    <x v="0"/>
    <x v="2"/>
    <d v="2025-08-24T00:00:00"/>
    <x v="1"/>
    <x v="5"/>
    <x v="14"/>
    <s v="Amazon"/>
    <n v="585.9"/>
    <s v="UPI"/>
    <s v="Completed"/>
  </r>
  <r>
    <x v="0"/>
    <x v="2"/>
    <d v="2025-08-04T00:00:00"/>
    <x v="1"/>
    <x v="6"/>
    <x v="15"/>
    <s v="Apollo Pharmacy"/>
    <n v="508.5"/>
    <s v="Debit Card"/>
    <s v="Completed"/>
  </r>
  <r>
    <x v="0"/>
    <x v="2"/>
    <d v="2025-08-04T00:00:00"/>
    <x v="1"/>
    <x v="6"/>
    <x v="16"/>
    <s v="Netflix"/>
    <n v="236.7"/>
    <s v="Debit Card"/>
    <s v="Completed"/>
  </r>
  <r>
    <x v="0"/>
    <x v="2"/>
    <d v="2025-08-23T00:00:00"/>
    <x v="1"/>
    <x v="6"/>
    <x v="17"/>
    <s v="BookMyShow"/>
    <n v="136.80000000000001"/>
    <s v="UPI"/>
    <s v="Completed"/>
  </r>
  <r>
    <x v="0"/>
    <x v="2"/>
    <d v="2025-08-19T00:00:00"/>
    <x v="1"/>
    <x v="6"/>
    <x v="18"/>
    <s v="Udemy"/>
    <n v="121.5"/>
    <s v="Bank Transfer"/>
    <s v="Completed"/>
  </r>
  <r>
    <x v="0"/>
    <x v="2"/>
    <d v="2025-08-20T00:00:00"/>
    <x v="1"/>
    <x v="7"/>
    <x v="19"/>
    <s v="Insurance Provider"/>
    <n v="908.1"/>
    <s v="UPI"/>
    <s v="Completed"/>
  </r>
  <r>
    <x v="0"/>
    <x v="2"/>
    <d v="2025-08-27T00:00:00"/>
    <x v="1"/>
    <x v="7"/>
    <x v="20"/>
    <s v="Insurance Provider"/>
    <n v="1026.9000000000001"/>
    <s v="Debit Card"/>
    <s v="Completed"/>
  </r>
  <r>
    <x v="0"/>
    <x v="2"/>
    <d v="2025-08-08T00:00:00"/>
    <x v="1"/>
    <x v="8"/>
    <x v="21"/>
    <s v="Bank EMI"/>
    <n v="3057.3"/>
    <s v="UPI"/>
    <s v="Completed"/>
  </r>
  <r>
    <x v="0"/>
    <x v="2"/>
    <d v="2025-08-24T00:00:00"/>
    <x v="2"/>
    <x v="9"/>
    <x v="22"/>
    <s v="AMC SIP"/>
    <n v="3420"/>
    <s v="Auto Debit"/>
    <s v="Completed"/>
  </r>
  <r>
    <x v="0"/>
    <x v="2"/>
    <d v="2025-08-14T00:00:00"/>
    <x v="2"/>
    <x v="9"/>
    <x v="23"/>
    <s v="AMC SIP"/>
    <n v="2246"/>
    <s v="Auto Debit"/>
    <s v="Completed"/>
  </r>
  <r>
    <x v="0"/>
    <x v="2"/>
    <d v="2025-08-16T00:00:00"/>
    <x v="2"/>
    <x v="9"/>
    <x v="24"/>
    <s v="PPF Account"/>
    <n v="1270"/>
    <s v="Auto Debit"/>
    <s v="Completed"/>
  </r>
  <r>
    <x v="0"/>
    <x v="2"/>
    <d v="2025-08-26T00:00:00"/>
    <x v="2"/>
    <x v="9"/>
    <x v="25"/>
    <s v="Gold Investment"/>
    <n v="742"/>
    <s v="Auto Debit"/>
    <s v="Completed"/>
  </r>
  <r>
    <x v="0"/>
    <x v="3"/>
    <d v="2025-09-01T00:00:00"/>
    <x v="0"/>
    <x v="0"/>
    <x v="0"/>
    <s v="Employer"/>
    <n v="33782"/>
    <s v="Bank Transfer"/>
    <s v="Completed"/>
  </r>
  <r>
    <x v="0"/>
    <x v="3"/>
    <d v="2025-09-07T00:00:00"/>
    <x v="1"/>
    <x v="1"/>
    <x v="1"/>
    <s v="Landlord"/>
    <n v="8464.5"/>
    <s v="Debit Card"/>
    <s v="Completed"/>
  </r>
  <r>
    <x v="0"/>
    <x v="3"/>
    <d v="2025-09-09T00:00:00"/>
    <x v="1"/>
    <x v="1"/>
    <x v="2"/>
    <s v="Apartment Association"/>
    <n v="569.70000000000005"/>
    <s v="Debit Card"/>
    <s v="Completed"/>
  </r>
  <r>
    <x v="0"/>
    <x v="3"/>
    <d v="2025-09-27T00:00:00"/>
    <x v="1"/>
    <x v="2"/>
    <x v="3"/>
    <s v="BigBasket"/>
    <n v="2169.9"/>
    <s v="UPI"/>
    <s v="Completed"/>
  </r>
  <r>
    <x v="0"/>
    <x v="3"/>
    <d v="2025-09-03T00:00:00"/>
    <x v="1"/>
    <x v="2"/>
    <x v="4"/>
    <s v="Local Restaurant"/>
    <n v="1107.9000000000001"/>
    <s v="Bank Transfer"/>
    <s v="Completed"/>
  </r>
  <r>
    <x v="0"/>
    <x v="3"/>
    <d v="2025-09-28T00:00:00"/>
    <x v="1"/>
    <x v="2"/>
    <x v="5"/>
    <s v="Swiggy"/>
    <n v="813.6"/>
    <s v="UPI"/>
    <s v="Completed"/>
  </r>
  <r>
    <x v="0"/>
    <x v="3"/>
    <d v="2025-09-26T00:00:00"/>
    <x v="1"/>
    <x v="3"/>
    <x v="6"/>
    <s v="IndianOil"/>
    <n v="909.9"/>
    <s v="UPI"/>
    <s v="Completed"/>
  </r>
  <r>
    <x v="0"/>
    <x v="3"/>
    <d v="2025-09-15T00:00:00"/>
    <x v="1"/>
    <x v="3"/>
    <x v="7"/>
    <s v="Ola"/>
    <n v="514.79999999999995"/>
    <s v="Debit Card"/>
    <s v="Completed"/>
  </r>
  <r>
    <x v="0"/>
    <x v="3"/>
    <d v="2025-09-08T00:00:00"/>
    <x v="1"/>
    <x v="3"/>
    <x v="8"/>
    <s v="BMTC"/>
    <n v="329.4"/>
    <s v="UPI"/>
    <s v="Completed"/>
  </r>
  <r>
    <x v="0"/>
    <x v="3"/>
    <d v="2025-09-07T00:00:00"/>
    <x v="1"/>
    <x v="4"/>
    <x v="9"/>
    <s v="BESCOM"/>
    <n v="612"/>
    <s v="UPI"/>
    <s v="Completed"/>
  </r>
  <r>
    <x v="0"/>
    <x v="3"/>
    <d v="2025-09-14T00:00:00"/>
    <x v="1"/>
    <x v="4"/>
    <x v="10"/>
    <s v="JioFiber"/>
    <n v="284.39999999999998"/>
    <s v="Debit Card"/>
    <s v="Completed"/>
  </r>
  <r>
    <x v="0"/>
    <x v="3"/>
    <d v="2025-09-11T00:00:00"/>
    <x v="1"/>
    <x v="4"/>
    <x v="11"/>
    <s v="Jio"/>
    <n v="209.7"/>
    <s v="Bank Transfer"/>
    <s v="Completed"/>
  </r>
  <r>
    <x v="0"/>
    <x v="3"/>
    <d v="2025-09-25T00:00:00"/>
    <x v="1"/>
    <x v="4"/>
    <x v="12"/>
    <s v="Indane"/>
    <n v="238.5"/>
    <s v="UPI"/>
    <s v="Completed"/>
  </r>
  <r>
    <x v="0"/>
    <x v="3"/>
    <d v="2025-09-08T00:00:00"/>
    <x v="1"/>
    <x v="5"/>
    <x v="13"/>
    <s v="AJIO"/>
    <n v="690.3"/>
    <s v="UPI"/>
    <s v="Completed"/>
  </r>
  <r>
    <x v="0"/>
    <x v="3"/>
    <d v="2025-09-03T00:00:00"/>
    <x v="1"/>
    <x v="5"/>
    <x v="14"/>
    <s v="Amazon"/>
    <n v="452.7"/>
    <s v="Bank Transfer"/>
    <s v="Completed"/>
  </r>
  <r>
    <x v="0"/>
    <x v="3"/>
    <d v="2025-09-12T00:00:00"/>
    <x v="1"/>
    <x v="6"/>
    <x v="15"/>
    <s v="Apollo Pharmacy"/>
    <n v="315"/>
    <s v="UPI"/>
    <s v="Completed"/>
  </r>
  <r>
    <x v="0"/>
    <x v="3"/>
    <d v="2025-09-20T00:00:00"/>
    <x v="1"/>
    <x v="6"/>
    <x v="16"/>
    <s v="Amazon Prime"/>
    <n v="181.8"/>
    <s v="Bank Transfer"/>
    <s v="Completed"/>
  </r>
  <r>
    <x v="0"/>
    <x v="3"/>
    <d v="2025-09-18T00:00:00"/>
    <x v="1"/>
    <x v="6"/>
    <x v="17"/>
    <s v="BookMyShow"/>
    <n v="134.1"/>
    <s v="UPI"/>
    <s v="Completed"/>
  </r>
  <r>
    <x v="0"/>
    <x v="3"/>
    <d v="2025-09-18T00:00:00"/>
    <x v="1"/>
    <x v="6"/>
    <x v="18"/>
    <s v="Udemy"/>
    <n v="492.3"/>
    <s v="UPI"/>
    <s v="Completed"/>
  </r>
  <r>
    <x v="0"/>
    <x v="3"/>
    <d v="2025-09-04T00:00:00"/>
    <x v="1"/>
    <x v="7"/>
    <x v="19"/>
    <s v="Insurance Provider"/>
    <n v="748.8"/>
    <s v="Bank Transfer"/>
    <s v="Completed"/>
  </r>
  <r>
    <x v="0"/>
    <x v="3"/>
    <d v="2025-09-09T00:00:00"/>
    <x v="1"/>
    <x v="7"/>
    <x v="20"/>
    <s v="Insurance Provider"/>
    <n v="863.1"/>
    <s v="UPI"/>
    <s v="Completed"/>
  </r>
  <r>
    <x v="0"/>
    <x v="3"/>
    <d v="2025-09-20T00:00:00"/>
    <x v="1"/>
    <x v="8"/>
    <x v="21"/>
    <s v="Bank EMI"/>
    <n v="2569.5"/>
    <s v="Bank Transfer"/>
    <s v="Completed"/>
  </r>
  <r>
    <x v="0"/>
    <x v="3"/>
    <d v="2025-09-22T00:00:00"/>
    <x v="2"/>
    <x v="9"/>
    <x v="22"/>
    <s v="AMC SIP"/>
    <n v="2877"/>
    <s v="Auto Debit"/>
    <s v="Completed"/>
  </r>
  <r>
    <x v="0"/>
    <x v="3"/>
    <d v="2025-09-22T00:00:00"/>
    <x v="2"/>
    <x v="9"/>
    <x v="23"/>
    <s v="AMC SIP"/>
    <n v="1891"/>
    <s v="Auto Debit"/>
    <s v="Completed"/>
  </r>
  <r>
    <x v="0"/>
    <x v="3"/>
    <d v="2025-09-16T00:00:00"/>
    <x v="2"/>
    <x v="9"/>
    <x v="24"/>
    <s v="PPF Account"/>
    <n v="1091"/>
    <s v="Auto Debit"/>
    <s v="Completed"/>
  </r>
  <r>
    <x v="0"/>
    <x v="3"/>
    <d v="2025-09-11T00:00:00"/>
    <x v="2"/>
    <x v="9"/>
    <x v="25"/>
    <s v="Gold Investment"/>
    <n v="637"/>
    <s v="Auto Debit"/>
    <s v="Completed"/>
  </r>
  <r>
    <x v="0"/>
    <x v="4"/>
    <d v="2025-10-01T00:00:00"/>
    <x v="0"/>
    <x v="0"/>
    <x v="0"/>
    <s v="Employer"/>
    <n v="35296"/>
    <s v="Bank Transfer"/>
    <s v="Completed"/>
  </r>
  <r>
    <x v="0"/>
    <x v="4"/>
    <d v="2025-10-05T00:00:00"/>
    <x v="1"/>
    <x v="1"/>
    <x v="1"/>
    <s v="Landlord"/>
    <n v="8986.5"/>
    <s v="Bank Transfer"/>
    <s v="Completed"/>
  </r>
  <r>
    <x v="0"/>
    <x v="4"/>
    <d v="2025-10-08T00:00:00"/>
    <x v="1"/>
    <x v="1"/>
    <x v="2"/>
    <s v="Apartment Association"/>
    <n v="754.2"/>
    <s v="UPI"/>
    <s v="Completed"/>
  </r>
  <r>
    <x v="0"/>
    <x v="4"/>
    <d v="2025-10-13T00:00:00"/>
    <x v="1"/>
    <x v="2"/>
    <x v="3"/>
    <s v="DMart"/>
    <n v="2585.6999999999998"/>
    <s v="UPI"/>
    <s v="Completed"/>
  </r>
  <r>
    <x v="0"/>
    <x v="4"/>
    <d v="2025-10-13T00:00:00"/>
    <x v="1"/>
    <x v="2"/>
    <x v="4"/>
    <s v="Zomato"/>
    <n v="1004.4"/>
    <s v="UPI"/>
    <s v="Completed"/>
  </r>
  <r>
    <x v="0"/>
    <x v="4"/>
    <d v="2025-10-16T00:00:00"/>
    <x v="1"/>
    <x v="2"/>
    <x v="5"/>
    <s v="Zomato"/>
    <n v="645.29999999999995"/>
    <s v="Bank Transfer"/>
    <s v="Completed"/>
  </r>
  <r>
    <x v="0"/>
    <x v="4"/>
    <d v="2025-10-27T00:00:00"/>
    <x v="1"/>
    <x v="3"/>
    <x v="6"/>
    <s v="BPCL"/>
    <n v="854.1"/>
    <s v="Bank Transfer"/>
    <s v="Completed"/>
  </r>
  <r>
    <x v="0"/>
    <x v="4"/>
    <d v="2025-10-02T00:00:00"/>
    <x v="1"/>
    <x v="3"/>
    <x v="7"/>
    <s v="Ola"/>
    <n v="514.79999999999995"/>
    <s v="Bank Transfer"/>
    <s v="Completed"/>
  </r>
  <r>
    <x v="0"/>
    <x v="4"/>
    <d v="2025-10-05T00:00:00"/>
    <x v="1"/>
    <x v="3"/>
    <x v="8"/>
    <s v="Namma Metro"/>
    <n v="315"/>
    <s v="Debit Card"/>
    <s v="Completed"/>
  </r>
  <r>
    <x v="0"/>
    <x v="4"/>
    <d v="2025-10-05T00:00:00"/>
    <x v="1"/>
    <x v="4"/>
    <x v="9"/>
    <s v="BESCOM"/>
    <n v="774.9"/>
    <s v="Bank Transfer"/>
    <s v="Completed"/>
  </r>
  <r>
    <x v="0"/>
    <x v="4"/>
    <d v="2025-10-19T00:00:00"/>
    <x v="1"/>
    <x v="4"/>
    <x v="10"/>
    <s v="Airtel"/>
    <n v="308.7"/>
    <s v="Debit Card"/>
    <s v="Completed"/>
  </r>
  <r>
    <x v="0"/>
    <x v="4"/>
    <d v="2025-10-11T00:00:00"/>
    <x v="1"/>
    <x v="4"/>
    <x v="11"/>
    <s v="Airtel"/>
    <n v="226.8"/>
    <s v="Bank Transfer"/>
    <s v="Completed"/>
  </r>
  <r>
    <x v="0"/>
    <x v="4"/>
    <d v="2025-10-12T00:00:00"/>
    <x v="1"/>
    <x v="4"/>
    <x v="12"/>
    <s v="Indane"/>
    <n v="285.3"/>
    <s v="Bank Transfer"/>
    <s v="Completed"/>
  </r>
  <r>
    <x v="0"/>
    <x v="4"/>
    <d v="2025-10-22T00:00:00"/>
    <x v="1"/>
    <x v="5"/>
    <x v="13"/>
    <s v="AJIO"/>
    <n v="898.2"/>
    <s v="Bank Transfer"/>
    <s v="Completed"/>
  </r>
  <r>
    <x v="0"/>
    <x v="4"/>
    <d v="2025-10-17T00:00:00"/>
    <x v="1"/>
    <x v="5"/>
    <x v="14"/>
    <s v="DMart"/>
    <n v="416.7"/>
    <s v="UPI"/>
    <s v="Completed"/>
  </r>
  <r>
    <x v="0"/>
    <x v="4"/>
    <d v="2025-10-04T00:00:00"/>
    <x v="1"/>
    <x v="6"/>
    <x v="15"/>
    <s v="Netmeds"/>
    <n v="164.7"/>
    <s v="Debit Card"/>
    <s v="Completed"/>
  </r>
  <r>
    <x v="0"/>
    <x v="4"/>
    <d v="2025-10-03T00:00:00"/>
    <x v="1"/>
    <x v="6"/>
    <x v="16"/>
    <s v="Netflix"/>
    <n v="193.5"/>
    <s v="Debit Card"/>
    <s v="Completed"/>
  </r>
  <r>
    <x v="0"/>
    <x v="4"/>
    <d v="2025-10-26T00:00:00"/>
    <x v="1"/>
    <x v="6"/>
    <x v="17"/>
    <s v="BookMyShow"/>
    <n v="301.5"/>
    <s v="Bank Transfer"/>
    <s v="Completed"/>
  </r>
  <r>
    <x v="0"/>
    <x v="4"/>
    <d v="2025-10-10T00:00:00"/>
    <x v="1"/>
    <x v="6"/>
    <x v="18"/>
    <s v="Udemy"/>
    <n v="711.9"/>
    <s v="Bank Transfer"/>
    <s v="Completed"/>
  </r>
  <r>
    <x v="0"/>
    <x v="4"/>
    <d v="2025-10-16T00:00:00"/>
    <x v="1"/>
    <x v="7"/>
    <x v="19"/>
    <s v="Insurance Provider"/>
    <n v="810"/>
    <s v="Bank Transfer"/>
    <s v="Completed"/>
  </r>
  <r>
    <x v="0"/>
    <x v="4"/>
    <d v="2025-10-02T00:00:00"/>
    <x v="1"/>
    <x v="7"/>
    <x v="20"/>
    <s v="Insurance Provider"/>
    <n v="916.2"/>
    <s v="UPI"/>
    <s v="Completed"/>
  </r>
  <r>
    <x v="0"/>
    <x v="4"/>
    <d v="2025-10-24T00:00:00"/>
    <x v="1"/>
    <x v="8"/>
    <x v="21"/>
    <s v="Bank EMI"/>
    <n v="2727.9"/>
    <s v="Bank Transfer"/>
    <s v="Completed"/>
  </r>
  <r>
    <x v="0"/>
    <x v="4"/>
    <d v="2025-10-04T00:00:00"/>
    <x v="2"/>
    <x v="9"/>
    <x v="22"/>
    <s v="AMC SIP"/>
    <n v="3068"/>
    <s v="Auto Debit"/>
    <s v="Completed"/>
  </r>
  <r>
    <x v="0"/>
    <x v="4"/>
    <d v="2025-10-21T00:00:00"/>
    <x v="2"/>
    <x v="9"/>
    <x v="23"/>
    <s v="AMC SIP"/>
    <n v="2016"/>
    <s v="Auto Debit"/>
    <s v="Completed"/>
  </r>
  <r>
    <x v="0"/>
    <x v="4"/>
    <d v="2025-10-16T00:00:00"/>
    <x v="2"/>
    <x v="9"/>
    <x v="24"/>
    <s v="PPF Account"/>
    <n v="1140"/>
    <s v="Auto Debit"/>
    <s v="Completed"/>
  </r>
  <r>
    <x v="0"/>
    <x v="4"/>
    <d v="2025-10-04T00:00:00"/>
    <x v="2"/>
    <x v="9"/>
    <x v="25"/>
    <s v="Gold Investment"/>
    <n v="666"/>
    <s v="Auto Debit"/>
    <s v="Completed"/>
  </r>
  <r>
    <x v="0"/>
    <x v="5"/>
    <d v="2025-11-01T00:00:00"/>
    <x v="0"/>
    <x v="0"/>
    <x v="0"/>
    <s v="Employer"/>
    <n v="39524"/>
    <s v="Bank Transfer"/>
    <s v="Completed"/>
  </r>
  <r>
    <x v="0"/>
    <x v="5"/>
    <d v="2025-11-07T00:00:00"/>
    <x v="1"/>
    <x v="1"/>
    <x v="1"/>
    <s v="Landlord"/>
    <n v="11178.9"/>
    <s v="Debit Card"/>
    <s v="Completed"/>
  </r>
  <r>
    <x v="0"/>
    <x v="5"/>
    <d v="2025-11-02T00:00:00"/>
    <x v="1"/>
    <x v="1"/>
    <x v="2"/>
    <s v="Apartment Association"/>
    <n v="708.3"/>
    <s v="Bank Transfer"/>
    <s v="Completed"/>
  </r>
  <r>
    <x v="0"/>
    <x v="5"/>
    <d v="2025-11-12T00:00:00"/>
    <x v="1"/>
    <x v="2"/>
    <x v="3"/>
    <s v="Reliance Smart"/>
    <n v="647.1"/>
    <s v="Bank Transfer"/>
    <s v="Completed"/>
  </r>
  <r>
    <x v="0"/>
    <x v="5"/>
    <d v="2025-11-25T00:00:00"/>
    <x v="1"/>
    <x v="2"/>
    <x v="4"/>
    <s v="Swiggy"/>
    <n v="262.8"/>
    <s v="Debit Card"/>
    <s v="Completed"/>
  </r>
  <r>
    <x v="0"/>
    <x v="5"/>
    <d v="2025-11-07T00:00:00"/>
    <x v="1"/>
    <x v="2"/>
    <x v="5"/>
    <s v="Swiggy"/>
    <n v="137.69999999999999"/>
    <s v="Debit Card"/>
    <s v="Completed"/>
  </r>
  <r>
    <x v="0"/>
    <x v="5"/>
    <d v="2025-11-03T00:00:00"/>
    <x v="1"/>
    <x v="3"/>
    <x v="6"/>
    <s v="HPCL"/>
    <n v="1132.2"/>
    <s v="UPI"/>
    <s v="Completed"/>
  </r>
  <r>
    <x v="0"/>
    <x v="5"/>
    <d v="2025-11-08T00:00:00"/>
    <x v="1"/>
    <x v="3"/>
    <x v="7"/>
    <s v="Ola"/>
    <n v="626.4"/>
    <s v="Debit Card"/>
    <s v="Completed"/>
  </r>
  <r>
    <x v="0"/>
    <x v="5"/>
    <d v="2025-11-11T00:00:00"/>
    <x v="1"/>
    <x v="3"/>
    <x v="8"/>
    <s v="Namma Metro"/>
    <n v="286.2"/>
    <s v="UPI"/>
    <s v="Completed"/>
  </r>
  <r>
    <x v="0"/>
    <x v="5"/>
    <d v="2025-11-02T00:00:00"/>
    <x v="1"/>
    <x v="4"/>
    <x v="9"/>
    <s v="BESCOM"/>
    <n v="1008.9"/>
    <s v="Debit Card"/>
    <s v="Completed"/>
  </r>
  <r>
    <x v="0"/>
    <x v="5"/>
    <d v="2025-11-12T00:00:00"/>
    <x v="1"/>
    <x v="4"/>
    <x v="10"/>
    <s v="JioFiber"/>
    <n v="376.2"/>
    <s v="UPI"/>
    <s v="Completed"/>
  </r>
  <r>
    <x v="0"/>
    <x v="5"/>
    <d v="2025-11-26T00:00:00"/>
    <x v="1"/>
    <x v="4"/>
    <x v="11"/>
    <s v="Jio"/>
    <n v="277.2"/>
    <s v="Debit Card"/>
    <s v="Completed"/>
  </r>
  <r>
    <x v="0"/>
    <x v="5"/>
    <d v="2025-11-22T00:00:00"/>
    <x v="1"/>
    <x v="4"/>
    <x v="12"/>
    <s v="Indane"/>
    <n v="418.5"/>
    <s v="Bank Transfer"/>
    <s v="Completed"/>
  </r>
  <r>
    <x v="0"/>
    <x v="5"/>
    <d v="2025-11-28T00:00:00"/>
    <x v="1"/>
    <x v="5"/>
    <x v="13"/>
    <s v="AJIO"/>
    <n v="1514.7"/>
    <s v="UPI"/>
    <s v="Completed"/>
  </r>
  <r>
    <x v="0"/>
    <x v="5"/>
    <d v="2025-11-05T00:00:00"/>
    <x v="1"/>
    <x v="5"/>
    <x v="14"/>
    <s v="DMart"/>
    <n v="765"/>
    <s v="UPI"/>
    <s v="Completed"/>
  </r>
  <r>
    <x v="0"/>
    <x v="5"/>
    <d v="2025-11-20T00:00:00"/>
    <x v="1"/>
    <x v="6"/>
    <x v="15"/>
    <s v="Netmeds"/>
    <n v="592.20000000000005"/>
    <s v="UPI"/>
    <s v="Completed"/>
  </r>
  <r>
    <x v="0"/>
    <x v="5"/>
    <d v="2025-11-05T00:00:00"/>
    <x v="1"/>
    <x v="6"/>
    <x v="16"/>
    <s v="Amazon Prime"/>
    <n v="272.7"/>
    <s v="Debit Card"/>
    <s v="Completed"/>
  </r>
  <r>
    <x v="0"/>
    <x v="5"/>
    <d v="2025-11-25T00:00:00"/>
    <x v="1"/>
    <x v="6"/>
    <x v="17"/>
    <s v="BookMyShow"/>
    <n v="183.6"/>
    <s v="Debit Card"/>
    <s v="Completed"/>
  </r>
  <r>
    <x v="0"/>
    <x v="5"/>
    <d v="2025-11-21T00:00:00"/>
    <x v="1"/>
    <x v="6"/>
    <x v="18"/>
    <s v="Udemy"/>
    <n v="364.5"/>
    <s v="Debit Card"/>
    <s v="Completed"/>
  </r>
  <r>
    <x v="0"/>
    <x v="5"/>
    <d v="2025-11-20T00:00:00"/>
    <x v="1"/>
    <x v="7"/>
    <x v="19"/>
    <s v="Insurance Provider"/>
    <n v="989.1"/>
    <s v="Debit Card"/>
    <s v="Completed"/>
  </r>
  <r>
    <x v="0"/>
    <x v="5"/>
    <d v="2025-11-03T00:00:00"/>
    <x v="1"/>
    <x v="7"/>
    <x v="20"/>
    <s v="Insurance Provider"/>
    <n v="1140.3"/>
    <s v="UPI"/>
    <s v="Completed"/>
  </r>
  <r>
    <x v="0"/>
    <x v="5"/>
    <d v="2025-11-18T00:00:00"/>
    <x v="1"/>
    <x v="8"/>
    <x v="21"/>
    <s v="Bank EMI"/>
    <n v="3393.9"/>
    <s v="Debit Card"/>
    <s v="Completed"/>
  </r>
  <r>
    <x v="0"/>
    <x v="5"/>
    <d v="2025-11-16T00:00:00"/>
    <x v="2"/>
    <x v="9"/>
    <x v="22"/>
    <s v="AMC SIP"/>
    <n v="3366"/>
    <s v="Auto Debit"/>
    <s v="Completed"/>
  </r>
  <r>
    <x v="0"/>
    <x v="5"/>
    <d v="2025-11-24T00:00:00"/>
    <x v="2"/>
    <x v="9"/>
    <x v="23"/>
    <s v="AMC SIP"/>
    <n v="2212"/>
    <s v="Auto Debit"/>
    <s v="Completed"/>
  </r>
  <r>
    <x v="0"/>
    <x v="5"/>
    <d v="2025-11-22T00:00:00"/>
    <x v="2"/>
    <x v="9"/>
    <x v="24"/>
    <s v="PPF Account"/>
    <n v="1276"/>
    <s v="Auto Debit"/>
    <s v="Completed"/>
  </r>
  <r>
    <x v="0"/>
    <x v="5"/>
    <d v="2025-11-24T00:00:00"/>
    <x v="2"/>
    <x v="9"/>
    <x v="25"/>
    <s v="Gold Investment"/>
    <n v="745"/>
    <s v="Auto Debit"/>
    <s v="Completed"/>
  </r>
  <r>
    <x v="0"/>
    <x v="6"/>
    <d v="2025-12-01T00:00:00"/>
    <x v="0"/>
    <x v="0"/>
    <x v="0"/>
    <s v="Employer"/>
    <n v="34741"/>
    <s v="Bank Transfer"/>
    <s v="Completed"/>
  </r>
  <r>
    <x v="0"/>
    <x v="6"/>
    <d v="2025-12-21T00:00:00"/>
    <x v="1"/>
    <x v="1"/>
    <x v="1"/>
    <s v="Landlord"/>
    <n v="13126.5"/>
    <s v="Debit Card"/>
    <s v="Completed"/>
  </r>
  <r>
    <x v="0"/>
    <x v="6"/>
    <d v="2025-12-19T00:00:00"/>
    <x v="1"/>
    <x v="1"/>
    <x v="2"/>
    <s v="Apartment Association"/>
    <n v="1088.0999999999999"/>
    <s v="Debit Card"/>
    <s v="Completed"/>
  </r>
  <r>
    <x v="0"/>
    <x v="6"/>
    <d v="2025-12-11T00:00:00"/>
    <x v="1"/>
    <x v="2"/>
    <x v="3"/>
    <s v="DMart"/>
    <n v="697.5"/>
    <s v="Debit Card"/>
    <s v="Completed"/>
  </r>
  <r>
    <x v="0"/>
    <x v="6"/>
    <d v="2025-12-27T00:00:00"/>
    <x v="1"/>
    <x v="2"/>
    <x v="4"/>
    <s v="Local Restaurant"/>
    <n v="645.29999999999995"/>
    <s v="Bank Transfer"/>
    <s v="Completed"/>
  </r>
  <r>
    <x v="0"/>
    <x v="6"/>
    <d v="2025-12-22T00:00:00"/>
    <x v="1"/>
    <x v="2"/>
    <x v="5"/>
    <s v="Zomato"/>
    <n v="302.39999999999998"/>
    <s v="Debit Card"/>
    <s v="Completed"/>
  </r>
  <r>
    <x v="0"/>
    <x v="6"/>
    <d v="2025-12-16T00:00:00"/>
    <x v="1"/>
    <x v="3"/>
    <x v="6"/>
    <s v="HPCL"/>
    <n v="603"/>
    <s v="Bank Transfer"/>
    <s v="Completed"/>
  </r>
  <r>
    <x v="0"/>
    <x v="6"/>
    <d v="2025-12-08T00:00:00"/>
    <x v="1"/>
    <x v="3"/>
    <x v="7"/>
    <s v="Ola"/>
    <n v="585"/>
    <s v="Bank Transfer"/>
    <s v="Completed"/>
  </r>
  <r>
    <x v="0"/>
    <x v="6"/>
    <d v="2025-12-07T00:00:00"/>
    <x v="1"/>
    <x v="3"/>
    <x v="8"/>
    <s v="Namma Metro"/>
    <n v="404.1"/>
    <s v="Debit Card"/>
    <s v="Completed"/>
  </r>
  <r>
    <x v="0"/>
    <x v="6"/>
    <d v="2025-12-18T00:00:00"/>
    <x v="1"/>
    <x v="4"/>
    <x v="9"/>
    <s v="BESCOM"/>
    <n v="1128.5999999999999"/>
    <s v="UPI"/>
    <s v="Completed"/>
  </r>
  <r>
    <x v="0"/>
    <x v="6"/>
    <d v="2025-12-28T00:00:00"/>
    <x v="1"/>
    <x v="4"/>
    <x v="10"/>
    <s v="Airtel"/>
    <n v="450.9"/>
    <s v="Bank Transfer"/>
    <s v="Completed"/>
  </r>
  <r>
    <x v="0"/>
    <x v="6"/>
    <d v="2025-12-11T00:00:00"/>
    <x v="1"/>
    <x v="4"/>
    <x v="11"/>
    <s v="Airtel"/>
    <n v="331.2"/>
    <s v="UPI"/>
    <s v="Completed"/>
  </r>
  <r>
    <x v="0"/>
    <x v="6"/>
    <d v="2025-12-06T00:00:00"/>
    <x v="1"/>
    <x v="4"/>
    <x v="12"/>
    <s v="Indane"/>
    <n v="438.3"/>
    <s v="UPI"/>
    <s v="Completed"/>
  </r>
  <r>
    <x v="0"/>
    <x v="6"/>
    <d v="2025-12-09T00:00:00"/>
    <x v="1"/>
    <x v="5"/>
    <x v="13"/>
    <s v="AJIO"/>
    <n v="948.6"/>
    <s v="Bank Transfer"/>
    <s v="Completed"/>
  </r>
  <r>
    <x v="0"/>
    <x v="6"/>
    <d v="2025-12-26T00:00:00"/>
    <x v="1"/>
    <x v="5"/>
    <x v="14"/>
    <s v="Amazon"/>
    <n v="717.3"/>
    <s v="Debit Card"/>
    <s v="Completed"/>
  </r>
  <r>
    <x v="0"/>
    <x v="6"/>
    <d v="2025-12-15T00:00:00"/>
    <x v="1"/>
    <x v="6"/>
    <x v="15"/>
    <s v="Apollo Pharmacy"/>
    <n v="440.1"/>
    <s v="Bank Transfer"/>
    <s v="Completed"/>
  </r>
  <r>
    <x v="0"/>
    <x v="6"/>
    <d v="2025-12-24T00:00:00"/>
    <x v="1"/>
    <x v="6"/>
    <x v="16"/>
    <s v="Amazon Prime"/>
    <n v="330.3"/>
    <s v="Debit Card"/>
    <s v="Completed"/>
  </r>
  <r>
    <x v="0"/>
    <x v="6"/>
    <d v="2025-12-14T00:00:00"/>
    <x v="1"/>
    <x v="6"/>
    <x v="17"/>
    <s v="BookMyShow"/>
    <n v="323.10000000000002"/>
    <s v="UPI"/>
    <s v="Completed"/>
  </r>
  <r>
    <x v="0"/>
    <x v="6"/>
    <d v="2025-12-22T00:00:00"/>
    <x v="1"/>
    <x v="6"/>
    <x v="18"/>
    <s v="Udemy"/>
    <n v="321.3"/>
    <s v="UPI"/>
    <s v="Completed"/>
  </r>
  <r>
    <x v="0"/>
    <x v="6"/>
    <d v="2025-12-26T00:00:00"/>
    <x v="1"/>
    <x v="7"/>
    <x v="19"/>
    <s v="Insurance Provider"/>
    <n v="283.5"/>
    <s v="UPI"/>
    <s v="Completed"/>
  </r>
  <r>
    <x v="0"/>
    <x v="6"/>
    <d v="2025-12-07T00:00:00"/>
    <x v="1"/>
    <x v="7"/>
    <x v="20"/>
    <s v="Insurance Provider"/>
    <n v="437.4"/>
    <s v="UPI"/>
    <s v="Completed"/>
  </r>
  <r>
    <x v="0"/>
    <x v="6"/>
    <d v="2025-12-19T00:00:00"/>
    <x v="1"/>
    <x v="8"/>
    <x v="21"/>
    <s v="Bank EMI"/>
    <n v="385.2"/>
    <s v="UPI"/>
    <s v="Completed"/>
  </r>
  <r>
    <x v="0"/>
    <x v="6"/>
    <d v="2025-12-17T00:00:00"/>
    <x v="2"/>
    <x v="9"/>
    <x v="22"/>
    <s v="AMC SIP"/>
    <n v="3890"/>
    <s v="Auto Debit"/>
    <s v="Completed"/>
  </r>
  <r>
    <x v="0"/>
    <x v="6"/>
    <d v="2025-12-17T00:00:00"/>
    <x v="2"/>
    <x v="9"/>
    <x v="23"/>
    <s v="AMC SIP"/>
    <n v="2555"/>
    <s v="Auto Debit"/>
    <s v="Completed"/>
  </r>
  <r>
    <x v="0"/>
    <x v="6"/>
    <d v="2025-12-27T00:00:00"/>
    <x v="2"/>
    <x v="9"/>
    <x v="24"/>
    <s v="PPF Account"/>
    <n v="1444"/>
    <s v="Auto Debit"/>
    <s v="Completed"/>
  </r>
  <r>
    <x v="0"/>
    <x v="6"/>
    <d v="2025-12-22T00:00:00"/>
    <x v="2"/>
    <x v="9"/>
    <x v="25"/>
    <s v="Gold Investment"/>
    <n v="844"/>
    <s v="Auto Debit"/>
    <s v="Completed"/>
  </r>
  <r>
    <x v="1"/>
    <x v="7"/>
    <d v="2026-01-01T00:00:00"/>
    <x v="0"/>
    <x v="0"/>
    <x v="0"/>
    <s v="Employer"/>
    <n v="56250"/>
    <s v="Bank Transfer"/>
    <s v="Completed"/>
  </r>
  <r>
    <x v="1"/>
    <x v="7"/>
    <d v="2026-01-04T00:00:00"/>
    <x v="1"/>
    <x v="1"/>
    <x v="1"/>
    <s v="Landlord"/>
    <n v="12810.6"/>
    <s v="UPI"/>
    <s v="Completed"/>
  </r>
  <r>
    <x v="1"/>
    <x v="7"/>
    <d v="2026-01-10T00:00:00"/>
    <x v="1"/>
    <x v="1"/>
    <x v="2"/>
    <s v="Apartment Association"/>
    <n v="1242"/>
    <s v="Debit Card"/>
    <s v="Completed"/>
  </r>
  <r>
    <x v="1"/>
    <x v="7"/>
    <d v="2026-01-19T00:00:00"/>
    <x v="1"/>
    <x v="2"/>
    <x v="3"/>
    <s v="DMart"/>
    <n v="3501"/>
    <s v="UPI"/>
    <s v="Completed"/>
  </r>
  <r>
    <x v="1"/>
    <x v="7"/>
    <d v="2026-01-06T00:00:00"/>
    <x v="1"/>
    <x v="2"/>
    <x v="4"/>
    <s v="Swiggy"/>
    <n v="1896.3"/>
    <s v="Debit Card"/>
    <s v="Completed"/>
  </r>
  <r>
    <x v="1"/>
    <x v="7"/>
    <d v="2026-01-24T00:00:00"/>
    <x v="1"/>
    <x v="2"/>
    <x v="5"/>
    <s v="Swiggy"/>
    <n v="971.1"/>
    <s v="Bank Transfer"/>
    <s v="Completed"/>
  </r>
  <r>
    <x v="1"/>
    <x v="7"/>
    <d v="2026-01-08T00:00:00"/>
    <x v="1"/>
    <x v="3"/>
    <x v="6"/>
    <s v="IndianOil"/>
    <n v="1386.9"/>
    <s v="Debit Card"/>
    <s v="Completed"/>
  </r>
  <r>
    <x v="1"/>
    <x v="7"/>
    <d v="2026-01-15T00:00:00"/>
    <x v="1"/>
    <x v="3"/>
    <x v="7"/>
    <s v="Ola"/>
    <n v="764.1"/>
    <s v="Bank Transfer"/>
    <s v="Completed"/>
  </r>
  <r>
    <x v="1"/>
    <x v="7"/>
    <d v="2026-01-16T00:00:00"/>
    <x v="1"/>
    <x v="3"/>
    <x v="8"/>
    <s v="BMTC"/>
    <n v="378"/>
    <s v="UPI"/>
    <s v="Completed"/>
  </r>
  <r>
    <x v="1"/>
    <x v="7"/>
    <d v="2026-01-08T00:00:00"/>
    <x v="1"/>
    <x v="4"/>
    <x v="9"/>
    <s v="BESCOM"/>
    <n v="1421.1"/>
    <s v="Debit Card"/>
    <s v="Completed"/>
  </r>
  <r>
    <x v="1"/>
    <x v="7"/>
    <d v="2026-01-26T00:00:00"/>
    <x v="1"/>
    <x v="4"/>
    <x v="10"/>
    <s v="Airtel"/>
    <n v="457.2"/>
    <s v="Bank Transfer"/>
    <s v="Completed"/>
  </r>
  <r>
    <x v="1"/>
    <x v="7"/>
    <d v="2026-01-14T00:00:00"/>
    <x v="1"/>
    <x v="4"/>
    <x v="11"/>
    <s v="Jio"/>
    <n v="320.39999999999998"/>
    <s v="UPI"/>
    <s v="Completed"/>
  </r>
  <r>
    <x v="1"/>
    <x v="7"/>
    <d v="2026-01-13T00:00:00"/>
    <x v="1"/>
    <x v="4"/>
    <x v="12"/>
    <s v="Indane"/>
    <n v="385.2"/>
    <s v="Debit Card"/>
    <s v="Completed"/>
  </r>
  <r>
    <x v="1"/>
    <x v="7"/>
    <d v="2026-01-28T00:00:00"/>
    <x v="1"/>
    <x v="5"/>
    <x v="13"/>
    <s v="AJIO"/>
    <n v="1663.2"/>
    <s v="Bank Transfer"/>
    <s v="Completed"/>
  </r>
  <r>
    <x v="1"/>
    <x v="7"/>
    <d v="2026-01-25T00:00:00"/>
    <x v="1"/>
    <x v="5"/>
    <x v="14"/>
    <s v="Amazon"/>
    <n v="1003.5"/>
    <s v="Debit Card"/>
    <s v="Completed"/>
  </r>
  <r>
    <x v="1"/>
    <x v="7"/>
    <d v="2026-01-09T00:00:00"/>
    <x v="1"/>
    <x v="6"/>
    <x v="15"/>
    <s v="Netmeds"/>
    <n v="522.9"/>
    <s v="Debit Card"/>
    <s v="Completed"/>
  </r>
  <r>
    <x v="1"/>
    <x v="7"/>
    <d v="2026-01-17T00:00:00"/>
    <x v="1"/>
    <x v="6"/>
    <x v="16"/>
    <s v="Netflix"/>
    <n v="239.4"/>
    <s v="Debit Card"/>
    <s v="Completed"/>
  </r>
  <r>
    <x v="1"/>
    <x v="7"/>
    <d v="2026-01-12T00:00:00"/>
    <x v="1"/>
    <x v="6"/>
    <x v="17"/>
    <s v="BookMyShow"/>
    <n v="266.39999999999998"/>
    <s v="Bank Transfer"/>
    <s v="Completed"/>
  </r>
  <r>
    <x v="1"/>
    <x v="7"/>
    <d v="2026-01-07T00:00:00"/>
    <x v="1"/>
    <x v="6"/>
    <x v="18"/>
    <s v="Coursera"/>
    <n v="824.4"/>
    <s v="UPI"/>
    <s v="Completed"/>
  </r>
  <r>
    <x v="1"/>
    <x v="7"/>
    <d v="2026-01-21T00:00:00"/>
    <x v="1"/>
    <x v="7"/>
    <x v="19"/>
    <s v="Insurance Provider"/>
    <n v="1143.9000000000001"/>
    <s v="Debit Card"/>
    <s v="Completed"/>
  </r>
  <r>
    <x v="1"/>
    <x v="7"/>
    <d v="2026-01-20T00:00:00"/>
    <x v="1"/>
    <x v="7"/>
    <x v="20"/>
    <s v="Insurance Provider"/>
    <n v="1373.4"/>
    <s v="UPI"/>
    <s v="Completed"/>
  </r>
  <r>
    <x v="1"/>
    <x v="7"/>
    <d v="2026-01-22T00:00:00"/>
    <x v="1"/>
    <x v="8"/>
    <x v="21"/>
    <s v="Bank EMI"/>
    <n v="3888.9"/>
    <s v="UPI"/>
    <s v="Completed"/>
  </r>
  <r>
    <x v="1"/>
    <x v="7"/>
    <d v="2026-01-17T00:00:00"/>
    <x v="2"/>
    <x v="9"/>
    <x v="22"/>
    <s v="AMC SIP"/>
    <n v="4840"/>
    <s v="Auto Debit"/>
    <s v="Completed"/>
  </r>
  <r>
    <x v="1"/>
    <x v="7"/>
    <d v="2026-01-04T00:00:00"/>
    <x v="2"/>
    <x v="9"/>
    <x v="23"/>
    <s v="AMC SIP"/>
    <n v="3025"/>
    <s v="Auto Debit"/>
    <s v="Completed"/>
  </r>
  <r>
    <x v="1"/>
    <x v="7"/>
    <d v="2026-01-15T00:00:00"/>
    <x v="2"/>
    <x v="9"/>
    <x v="24"/>
    <s v="PPF Account"/>
    <n v="1815"/>
    <s v="Auto Debit"/>
    <s v="Completed"/>
  </r>
  <r>
    <x v="1"/>
    <x v="7"/>
    <d v="2026-01-09T00:00:00"/>
    <x v="2"/>
    <x v="9"/>
    <x v="25"/>
    <s v="Gold Investment"/>
    <n v="1009"/>
    <s v="Auto Debit"/>
    <s v="Completed"/>
  </r>
  <r>
    <x v="1"/>
    <x v="8"/>
    <d v="2026-02-01T00:00:00"/>
    <x v="0"/>
    <x v="0"/>
    <x v="0"/>
    <s v="Employer"/>
    <n v="81563"/>
    <s v="Bank Transfer"/>
    <s v="Completed"/>
  </r>
  <r>
    <x v="1"/>
    <x v="8"/>
    <d v="2026-02-22T00:00:00"/>
    <x v="1"/>
    <x v="1"/>
    <x v="1"/>
    <s v="Landlord"/>
    <n v="19402.2"/>
    <s v="Bank Transfer"/>
    <s v="Completed"/>
  </r>
  <r>
    <x v="1"/>
    <x v="8"/>
    <d v="2026-02-03T00:00:00"/>
    <x v="1"/>
    <x v="1"/>
    <x v="2"/>
    <s v="Apartment Association"/>
    <n v="1726.2"/>
    <s v="UPI"/>
    <s v="Completed"/>
  </r>
  <r>
    <x v="1"/>
    <x v="8"/>
    <d v="2026-02-08T00:00:00"/>
    <x v="1"/>
    <x v="2"/>
    <x v="3"/>
    <s v="DMart"/>
    <n v="5926.5"/>
    <s v="Bank Transfer"/>
    <s v="Completed"/>
  </r>
  <r>
    <x v="1"/>
    <x v="8"/>
    <d v="2026-02-06T00:00:00"/>
    <x v="1"/>
    <x v="2"/>
    <x v="4"/>
    <s v="Swiggy"/>
    <n v="2313.9"/>
    <s v="UPI"/>
    <s v="Completed"/>
  </r>
  <r>
    <x v="1"/>
    <x v="8"/>
    <d v="2026-02-17T00:00:00"/>
    <x v="1"/>
    <x v="2"/>
    <x v="5"/>
    <s v="Swiggy"/>
    <n v="1899"/>
    <s v="Bank Transfer"/>
    <s v="Completed"/>
  </r>
  <r>
    <x v="1"/>
    <x v="8"/>
    <d v="2026-02-08T00:00:00"/>
    <x v="1"/>
    <x v="3"/>
    <x v="6"/>
    <s v="HPCL"/>
    <n v="2331"/>
    <s v="Bank Transfer"/>
    <s v="Completed"/>
  </r>
  <r>
    <x v="1"/>
    <x v="8"/>
    <d v="2026-02-10T00:00:00"/>
    <x v="1"/>
    <x v="3"/>
    <x v="7"/>
    <s v="Ola"/>
    <n v="802.8"/>
    <s v="UPI"/>
    <s v="Completed"/>
  </r>
  <r>
    <x v="1"/>
    <x v="8"/>
    <d v="2026-02-21T00:00:00"/>
    <x v="1"/>
    <x v="3"/>
    <x v="8"/>
    <s v="Namma Metro"/>
    <n v="781.2"/>
    <s v="UPI"/>
    <s v="Completed"/>
  </r>
  <r>
    <x v="1"/>
    <x v="8"/>
    <d v="2026-02-11T00:00:00"/>
    <x v="1"/>
    <x v="4"/>
    <x v="9"/>
    <s v="BESCOM"/>
    <n v="1363.5"/>
    <s v="Bank Transfer"/>
    <s v="Completed"/>
  </r>
  <r>
    <x v="1"/>
    <x v="8"/>
    <d v="2026-02-02T00:00:00"/>
    <x v="1"/>
    <x v="4"/>
    <x v="10"/>
    <s v="JioFiber"/>
    <n v="693"/>
    <s v="Bank Transfer"/>
    <s v="Completed"/>
  </r>
  <r>
    <x v="1"/>
    <x v="8"/>
    <d v="2026-02-23T00:00:00"/>
    <x v="1"/>
    <x v="4"/>
    <x v="11"/>
    <s v="Jio"/>
    <n v="485.1"/>
    <s v="Debit Card"/>
    <s v="Completed"/>
  </r>
  <r>
    <x v="1"/>
    <x v="8"/>
    <d v="2026-02-24T00:00:00"/>
    <x v="1"/>
    <x v="4"/>
    <x v="12"/>
    <s v="Indane"/>
    <n v="651.6"/>
    <s v="UPI"/>
    <s v="Completed"/>
  </r>
  <r>
    <x v="1"/>
    <x v="8"/>
    <d v="2026-02-20T00:00:00"/>
    <x v="1"/>
    <x v="5"/>
    <x v="13"/>
    <s v="Myntra"/>
    <n v="1094.4000000000001"/>
    <s v="UPI"/>
    <s v="Completed"/>
  </r>
  <r>
    <x v="1"/>
    <x v="8"/>
    <d v="2026-02-24T00:00:00"/>
    <x v="1"/>
    <x v="5"/>
    <x v="14"/>
    <s v="DMart"/>
    <n v="1596.6"/>
    <s v="Bank Transfer"/>
    <s v="Completed"/>
  </r>
  <r>
    <x v="1"/>
    <x v="8"/>
    <d v="2026-02-21T00:00:00"/>
    <x v="1"/>
    <x v="6"/>
    <x v="15"/>
    <s v="Apollo Pharmacy"/>
    <n v="383.4"/>
    <s v="Bank Transfer"/>
    <s v="Completed"/>
  </r>
  <r>
    <x v="1"/>
    <x v="8"/>
    <d v="2026-02-27T00:00:00"/>
    <x v="1"/>
    <x v="6"/>
    <x v="16"/>
    <s v="Netflix"/>
    <n v="614.70000000000005"/>
    <s v="Debit Card"/>
    <s v="Completed"/>
  </r>
  <r>
    <x v="1"/>
    <x v="8"/>
    <d v="2026-02-19T00:00:00"/>
    <x v="1"/>
    <x v="6"/>
    <x v="17"/>
    <s v="BookMyShow"/>
    <n v="456.3"/>
    <s v="Bank Transfer"/>
    <s v="Completed"/>
  </r>
  <r>
    <x v="1"/>
    <x v="8"/>
    <d v="2026-02-13T00:00:00"/>
    <x v="1"/>
    <x v="6"/>
    <x v="18"/>
    <s v="Udemy"/>
    <n v="636.29999999999995"/>
    <s v="Bank Transfer"/>
    <s v="Completed"/>
  </r>
  <r>
    <x v="1"/>
    <x v="8"/>
    <d v="2026-02-22T00:00:00"/>
    <x v="1"/>
    <x v="7"/>
    <x v="19"/>
    <s v="Insurance Provider"/>
    <n v="1732.5"/>
    <s v="UPI"/>
    <s v="Completed"/>
  </r>
  <r>
    <x v="1"/>
    <x v="8"/>
    <d v="2026-02-15T00:00:00"/>
    <x v="1"/>
    <x v="7"/>
    <x v="20"/>
    <s v="Insurance Provider"/>
    <n v="2079"/>
    <s v="UPI"/>
    <s v="Completed"/>
  </r>
  <r>
    <x v="1"/>
    <x v="8"/>
    <d v="2026-02-15T00:00:00"/>
    <x v="1"/>
    <x v="8"/>
    <x v="21"/>
    <s v="Bank EMI"/>
    <n v="5890.5"/>
    <s v="Bank Transfer"/>
    <s v="Completed"/>
  </r>
  <r>
    <x v="1"/>
    <x v="8"/>
    <d v="2026-02-17T00:00:00"/>
    <x v="2"/>
    <x v="9"/>
    <x v="22"/>
    <s v="AMC SIP"/>
    <n v="7018"/>
    <s v="Auto Debit"/>
    <s v="Completed"/>
  </r>
  <r>
    <x v="1"/>
    <x v="8"/>
    <d v="2026-02-16T00:00:00"/>
    <x v="2"/>
    <x v="9"/>
    <x v="23"/>
    <s v="AMC SIP"/>
    <n v="4386"/>
    <s v="Auto Debit"/>
    <s v="Completed"/>
  </r>
  <r>
    <x v="1"/>
    <x v="8"/>
    <d v="2026-02-26T00:00:00"/>
    <x v="2"/>
    <x v="9"/>
    <x v="24"/>
    <s v="PPF Account"/>
    <n v="2632"/>
    <s v="Auto Debit"/>
    <s v="Completed"/>
  </r>
  <r>
    <x v="1"/>
    <x v="8"/>
    <d v="2026-02-22T00:00:00"/>
    <x v="2"/>
    <x v="9"/>
    <x v="25"/>
    <s v="Gold Investment"/>
    <n v="1462"/>
    <s v="Auto Debit"/>
    <s v="Completed"/>
  </r>
  <r>
    <x v="1"/>
    <x v="9"/>
    <d v="2026-03-01T00:00:00"/>
    <x v="0"/>
    <x v="0"/>
    <x v="0"/>
    <s v="Employer"/>
    <n v="89719"/>
    <s v="Bank Transfer"/>
    <s v="Completed"/>
  </r>
  <r>
    <x v="1"/>
    <x v="9"/>
    <d v="2026-03-23T00:00:00"/>
    <x v="1"/>
    <x v="1"/>
    <x v="1"/>
    <s v="Landlord"/>
    <n v="20334.599999999999"/>
    <s v="Debit Card"/>
    <s v="Completed"/>
  </r>
  <r>
    <x v="1"/>
    <x v="9"/>
    <d v="2026-03-02T00:00:00"/>
    <x v="1"/>
    <x v="1"/>
    <x v="2"/>
    <s v="Apartment Association"/>
    <n v="1955.7"/>
    <s v="Debit Card"/>
    <s v="Completed"/>
  </r>
  <r>
    <x v="1"/>
    <x v="9"/>
    <d v="2026-03-07T00:00:00"/>
    <x v="1"/>
    <x v="2"/>
    <x v="3"/>
    <s v="Reliance Smart"/>
    <n v="6845.4"/>
    <s v="UPI"/>
    <s v="Completed"/>
  </r>
  <r>
    <x v="1"/>
    <x v="9"/>
    <d v="2026-03-13T00:00:00"/>
    <x v="1"/>
    <x v="2"/>
    <x v="4"/>
    <s v="Zomato"/>
    <n v="2395.8000000000002"/>
    <s v="Debit Card"/>
    <s v="Completed"/>
  </r>
  <r>
    <x v="1"/>
    <x v="9"/>
    <d v="2026-03-10T00:00:00"/>
    <x v="1"/>
    <x v="2"/>
    <x v="5"/>
    <s v="Zomato"/>
    <n v="1350.9"/>
    <s v="Bank Transfer"/>
    <s v="Completed"/>
  </r>
  <r>
    <x v="1"/>
    <x v="9"/>
    <d v="2026-03-02T00:00:00"/>
    <x v="1"/>
    <x v="3"/>
    <x v="6"/>
    <s v="BPCL"/>
    <n v="2180.6999999999998"/>
    <s v="UPI"/>
    <s v="Completed"/>
  </r>
  <r>
    <x v="1"/>
    <x v="9"/>
    <d v="2026-03-04T00:00:00"/>
    <x v="1"/>
    <x v="3"/>
    <x v="7"/>
    <s v="Uber"/>
    <n v="1271.7"/>
    <s v="Bank Transfer"/>
    <s v="Completed"/>
  </r>
  <r>
    <x v="1"/>
    <x v="9"/>
    <d v="2026-03-15T00:00:00"/>
    <x v="1"/>
    <x v="3"/>
    <x v="8"/>
    <s v="BMTC"/>
    <n v="855.9"/>
    <s v="Bank Transfer"/>
    <s v="Completed"/>
  </r>
  <r>
    <x v="1"/>
    <x v="9"/>
    <d v="2026-03-26T00:00:00"/>
    <x v="1"/>
    <x v="4"/>
    <x v="9"/>
    <s v="BESCOM"/>
    <n v="1436.4"/>
    <s v="Bank Transfer"/>
    <s v="Completed"/>
  </r>
  <r>
    <x v="1"/>
    <x v="9"/>
    <d v="2026-03-17T00:00:00"/>
    <x v="1"/>
    <x v="4"/>
    <x v="10"/>
    <s v="JioFiber"/>
    <n v="726.3"/>
    <s v="Debit Card"/>
    <s v="Completed"/>
  </r>
  <r>
    <x v="1"/>
    <x v="9"/>
    <d v="2026-03-27T00:00:00"/>
    <x v="1"/>
    <x v="4"/>
    <x v="11"/>
    <s v="Airtel"/>
    <n v="508.5"/>
    <s v="UPI"/>
    <s v="Completed"/>
  </r>
  <r>
    <x v="1"/>
    <x v="9"/>
    <d v="2026-03-11T00:00:00"/>
    <x v="1"/>
    <x v="4"/>
    <x v="12"/>
    <s v="Indane"/>
    <n v="612"/>
    <s v="Debit Card"/>
    <s v="Completed"/>
  </r>
  <r>
    <x v="1"/>
    <x v="9"/>
    <d v="2026-03-24T00:00:00"/>
    <x v="1"/>
    <x v="5"/>
    <x v="13"/>
    <s v="Myntra"/>
    <n v="2430"/>
    <s v="Debit Card"/>
    <s v="Completed"/>
  </r>
  <r>
    <x v="1"/>
    <x v="9"/>
    <d v="2026-03-23T00:00:00"/>
    <x v="1"/>
    <x v="5"/>
    <x v="14"/>
    <s v="DMart"/>
    <n v="1233.9000000000001"/>
    <s v="Debit Card"/>
    <s v="Completed"/>
  </r>
  <r>
    <x v="1"/>
    <x v="9"/>
    <d v="2026-03-19T00:00:00"/>
    <x v="1"/>
    <x v="6"/>
    <x v="15"/>
    <s v="Netmeds"/>
    <n v="921.6"/>
    <s v="Debit Card"/>
    <s v="Completed"/>
  </r>
  <r>
    <x v="1"/>
    <x v="9"/>
    <d v="2026-03-25T00:00:00"/>
    <x v="1"/>
    <x v="6"/>
    <x v="16"/>
    <s v="Amazon Prime"/>
    <n v="462.6"/>
    <s v="Debit Card"/>
    <s v="Completed"/>
  </r>
  <r>
    <x v="1"/>
    <x v="9"/>
    <d v="2026-03-24T00:00:00"/>
    <x v="1"/>
    <x v="6"/>
    <x v="17"/>
    <s v="BookMyShow"/>
    <n v="641.70000000000005"/>
    <s v="Debit Card"/>
    <s v="Completed"/>
  </r>
  <r>
    <x v="1"/>
    <x v="9"/>
    <d v="2026-03-11T00:00:00"/>
    <x v="1"/>
    <x v="6"/>
    <x v="18"/>
    <s v="Coursera"/>
    <n v="1815.3"/>
    <s v="UPI"/>
    <s v="Completed"/>
  </r>
  <r>
    <x v="1"/>
    <x v="9"/>
    <d v="2026-03-05T00:00:00"/>
    <x v="1"/>
    <x v="7"/>
    <x v="19"/>
    <s v="Insurance Provider"/>
    <n v="1816.2"/>
    <s v="Debit Card"/>
    <s v="Completed"/>
  </r>
  <r>
    <x v="1"/>
    <x v="9"/>
    <d v="2026-03-05T00:00:00"/>
    <x v="1"/>
    <x v="7"/>
    <x v="20"/>
    <s v="Insurance Provider"/>
    <n v="2178.9"/>
    <s v="UPI"/>
    <s v="Completed"/>
  </r>
  <r>
    <x v="1"/>
    <x v="9"/>
    <d v="2026-03-08T00:00:00"/>
    <x v="1"/>
    <x v="8"/>
    <x v="21"/>
    <s v="Bank EMI"/>
    <n v="6173.1"/>
    <s v="Debit Card"/>
    <s v="Completed"/>
  </r>
  <r>
    <x v="1"/>
    <x v="9"/>
    <d v="2026-03-26T00:00:00"/>
    <x v="2"/>
    <x v="9"/>
    <x v="22"/>
    <s v="AMC SIP"/>
    <n v="7720"/>
    <s v="Auto Debit"/>
    <s v="Completed"/>
  </r>
  <r>
    <x v="1"/>
    <x v="9"/>
    <d v="2026-03-06T00:00:00"/>
    <x v="2"/>
    <x v="9"/>
    <x v="23"/>
    <s v="AMC SIP"/>
    <n v="4825"/>
    <s v="Auto Debit"/>
    <s v="Completed"/>
  </r>
  <r>
    <x v="1"/>
    <x v="9"/>
    <d v="2026-03-12T00:00:00"/>
    <x v="2"/>
    <x v="9"/>
    <x v="24"/>
    <s v="PPF Account"/>
    <n v="2895"/>
    <s v="Auto Debit"/>
    <s v="Completed"/>
  </r>
  <r>
    <x v="1"/>
    <x v="9"/>
    <d v="2026-03-14T00:00:00"/>
    <x v="2"/>
    <x v="9"/>
    <x v="25"/>
    <s v="Gold Investment"/>
    <n v="1609"/>
    <s v="Auto Debit"/>
    <s v="Completed"/>
  </r>
  <r>
    <x v="1"/>
    <x v="10"/>
    <d v="2026-04-01T00:00:00"/>
    <x v="0"/>
    <x v="0"/>
    <x v="0"/>
    <s v="Employer"/>
    <n v="71775"/>
    <s v="Bank Transfer"/>
    <s v="Completed"/>
  </r>
  <r>
    <x v="1"/>
    <x v="10"/>
    <d v="2026-04-11T00:00:00"/>
    <x v="1"/>
    <x v="1"/>
    <x v="1"/>
    <s v="Landlord"/>
    <n v="17245.8"/>
    <s v="Debit Card"/>
    <s v="Completed"/>
  </r>
  <r>
    <x v="1"/>
    <x v="10"/>
    <d v="2026-04-16T00:00:00"/>
    <x v="1"/>
    <x v="1"/>
    <x v="2"/>
    <s v="Apartment Association"/>
    <n v="1125.9000000000001"/>
    <s v="UPI"/>
    <s v="Completed"/>
  </r>
  <r>
    <x v="1"/>
    <x v="10"/>
    <d v="2026-04-03T00:00:00"/>
    <x v="1"/>
    <x v="2"/>
    <x v="3"/>
    <s v="Reliance Smart"/>
    <n v="5659.2"/>
    <s v="Debit Card"/>
    <s v="Completed"/>
  </r>
  <r>
    <x v="1"/>
    <x v="10"/>
    <d v="2026-04-05T00:00:00"/>
    <x v="1"/>
    <x v="2"/>
    <x v="4"/>
    <s v="Swiggy"/>
    <n v="1674.9"/>
    <s v="Debit Card"/>
    <s v="Completed"/>
  </r>
  <r>
    <x v="1"/>
    <x v="10"/>
    <d v="2026-04-17T00:00:00"/>
    <x v="1"/>
    <x v="2"/>
    <x v="5"/>
    <s v="Swiggy"/>
    <n v="1085.4000000000001"/>
    <s v="Bank Transfer"/>
    <s v="Completed"/>
  </r>
  <r>
    <x v="1"/>
    <x v="10"/>
    <d v="2026-04-22T00:00:00"/>
    <x v="1"/>
    <x v="3"/>
    <x v="6"/>
    <s v="BPCL"/>
    <n v="1597.5"/>
    <s v="UPI"/>
    <s v="Completed"/>
  </r>
  <r>
    <x v="1"/>
    <x v="10"/>
    <d v="2026-04-06T00:00:00"/>
    <x v="1"/>
    <x v="3"/>
    <x v="7"/>
    <s v="Uber"/>
    <n v="588.6"/>
    <s v="Bank Transfer"/>
    <s v="Completed"/>
  </r>
  <r>
    <x v="1"/>
    <x v="10"/>
    <d v="2026-04-11T00:00:00"/>
    <x v="1"/>
    <x v="3"/>
    <x v="8"/>
    <s v="Namma Metro"/>
    <n v="605.70000000000005"/>
    <s v="UPI"/>
    <s v="Completed"/>
  </r>
  <r>
    <x v="1"/>
    <x v="10"/>
    <d v="2026-04-05T00:00:00"/>
    <x v="1"/>
    <x v="4"/>
    <x v="9"/>
    <s v="BESCOM"/>
    <n v="1477.8"/>
    <s v="Bank Transfer"/>
    <s v="Completed"/>
  </r>
  <r>
    <x v="1"/>
    <x v="10"/>
    <d v="2026-04-21T00:00:00"/>
    <x v="1"/>
    <x v="4"/>
    <x v="10"/>
    <s v="Airtel"/>
    <n v="615.6"/>
    <s v="Bank Transfer"/>
    <s v="Completed"/>
  </r>
  <r>
    <x v="1"/>
    <x v="10"/>
    <d v="2026-04-14T00:00:00"/>
    <x v="1"/>
    <x v="4"/>
    <x v="11"/>
    <s v="Jio"/>
    <n v="431.1"/>
    <s v="Debit Card"/>
    <s v="Completed"/>
  </r>
  <r>
    <x v="1"/>
    <x v="10"/>
    <d v="2026-04-11T00:00:00"/>
    <x v="1"/>
    <x v="4"/>
    <x v="12"/>
    <s v="Indane"/>
    <n v="651.6"/>
    <s v="Debit Card"/>
    <s v="Completed"/>
  </r>
  <r>
    <x v="1"/>
    <x v="10"/>
    <d v="2026-04-20T00:00:00"/>
    <x v="1"/>
    <x v="5"/>
    <x v="13"/>
    <s v="Myntra"/>
    <n v="1242.9000000000001"/>
    <s v="Bank Transfer"/>
    <s v="Completed"/>
  </r>
  <r>
    <x v="1"/>
    <x v="10"/>
    <d v="2026-04-25T00:00:00"/>
    <x v="1"/>
    <x v="5"/>
    <x v="14"/>
    <s v="Amazon"/>
    <n v="1358.1"/>
    <s v="UPI"/>
    <s v="Completed"/>
  </r>
  <r>
    <x v="1"/>
    <x v="10"/>
    <d v="2026-04-22T00:00:00"/>
    <x v="1"/>
    <x v="6"/>
    <x v="15"/>
    <s v="Apollo Pharmacy"/>
    <n v="373.5"/>
    <s v="Debit Card"/>
    <s v="Completed"/>
  </r>
  <r>
    <x v="1"/>
    <x v="10"/>
    <d v="2026-04-23T00:00:00"/>
    <x v="1"/>
    <x v="6"/>
    <x v="16"/>
    <s v="Netflix"/>
    <n v="521.1"/>
    <s v="UPI"/>
    <s v="Completed"/>
  </r>
  <r>
    <x v="1"/>
    <x v="10"/>
    <d v="2026-04-09T00:00:00"/>
    <x v="1"/>
    <x v="6"/>
    <x v="17"/>
    <s v="BookMyShow"/>
    <n v="192.6"/>
    <s v="Bank Transfer"/>
    <s v="Completed"/>
  </r>
  <r>
    <x v="1"/>
    <x v="10"/>
    <d v="2026-04-04T00:00:00"/>
    <x v="1"/>
    <x v="6"/>
    <x v="18"/>
    <s v="Udemy"/>
    <n v="1448.1"/>
    <s v="UPI"/>
    <s v="Completed"/>
  </r>
  <r>
    <x v="1"/>
    <x v="10"/>
    <d v="2026-04-15T00:00:00"/>
    <x v="1"/>
    <x v="7"/>
    <x v="19"/>
    <s v="Insurance Provider"/>
    <n v="1539.9"/>
    <s v="Bank Transfer"/>
    <s v="Completed"/>
  </r>
  <r>
    <x v="1"/>
    <x v="10"/>
    <d v="2026-04-21T00:00:00"/>
    <x v="1"/>
    <x v="7"/>
    <x v="20"/>
    <s v="Insurance Provider"/>
    <n v="1848.6"/>
    <s v="Debit Card"/>
    <s v="Completed"/>
  </r>
  <r>
    <x v="1"/>
    <x v="10"/>
    <d v="2026-04-03T00:00:00"/>
    <x v="1"/>
    <x v="8"/>
    <x v="21"/>
    <s v="Bank EMI"/>
    <n v="5235.3"/>
    <s v="Debit Card"/>
    <s v="Completed"/>
  </r>
  <r>
    <x v="1"/>
    <x v="10"/>
    <d v="2026-04-25T00:00:00"/>
    <x v="2"/>
    <x v="9"/>
    <x v="22"/>
    <s v="AMC SIP"/>
    <n v="6176"/>
    <s v="Auto Debit"/>
    <s v="Completed"/>
  </r>
  <r>
    <x v="1"/>
    <x v="10"/>
    <d v="2026-04-25T00:00:00"/>
    <x v="2"/>
    <x v="9"/>
    <x v="23"/>
    <s v="AMC SIP"/>
    <n v="3860"/>
    <s v="Auto Debit"/>
    <s v="Completed"/>
  </r>
  <r>
    <x v="1"/>
    <x v="10"/>
    <d v="2026-04-05T00:00:00"/>
    <x v="2"/>
    <x v="9"/>
    <x v="24"/>
    <s v="PPF Account"/>
    <n v="2316"/>
    <s v="Auto Debit"/>
    <s v="Completed"/>
  </r>
  <r>
    <x v="1"/>
    <x v="10"/>
    <d v="2026-04-11T00:00:00"/>
    <x v="2"/>
    <x v="9"/>
    <x v="25"/>
    <s v="Gold Investment"/>
    <n v="1287"/>
    <s v="Auto Debit"/>
    <s v="Completed"/>
  </r>
  <r>
    <x v="1"/>
    <x v="11"/>
    <d v="2026-05-01T00:00:00"/>
    <x v="0"/>
    <x v="0"/>
    <x v="0"/>
    <s v="Employer"/>
    <n v="62445"/>
    <s v="Bank Transfer"/>
    <s v="Completed"/>
  </r>
  <r>
    <x v="1"/>
    <x v="11"/>
    <d v="2026-05-11T00:00:00"/>
    <x v="1"/>
    <x v="1"/>
    <x v="1"/>
    <s v="Landlord"/>
    <n v="14728.5"/>
    <s v="UPI"/>
    <s v="Completed"/>
  </r>
  <r>
    <x v="1"/>
    <x v="11"/>
    <d v="2026-05-16T00:00:00"/>
    <x v="1"/>
    <x v="1"/>
    <x v="2"/>
    <s v="Apartment Association"/>
    <n v="1071"/>
    <s v="Bank Transfer"/>
    <s v="Completed"/>
  </r>
  <r>
    <x v="1"/>
    <x v="11"/>
    <d v="2026-05-14T00:00:00"/>
    <x v="1"/>
    <x v="2"/>
    <x v="3"/>
    <s v="Reliance Smart"/>
    <n v="4855.5"/>
    <s v="Bank Transfer"/>
    <s v="Completed"/>
  </r>
  <r>
    <x v="1"/>
    <x v="11"/>
    <d v="2026-05-19T00:00:00"/>
    <x v="1"/>
    <x v="2"/>
    <x v="4"/>
    <s v="Zomato"/>
    <n v="1641.6"/>
    <s v="Debit Card"/>
    <s v="Completed"/>
  </r>
  <r>
    <x v="1"/>
    <x v="11"/>
    <d v="2026-05-04T00:00:00"/>
    <x v="1"/>
    <x v="2"/>
    <x v="5"/>
    <s v="Swiggy"/>
    <n v="1329.3"/>
    <s v="Debit Card"/>
    <s v="Completed"/>
  </r>
  <r>
    <x v="1"/>
    <x v="11"/>
    <d v="2026-05-25T00:00:00"/>
    <x v="1"/>
    <x v="3"/>
    <x v="6"/>
    <s v="HPCL"/>
    <n v="1476"/>
    <s v="Bank Transfer"/>
    <s v="Completed"/>
  </r>
  <r>
    <x v="1"/>
    <x v="11"/>
    <d v="2026-05-10T00:00:00"/>
    <x v="1"/>
    <x v="3"/>
    <x v="7"/>
    <s v="Uber"/>
    <n v="616.5"/>
    <s v="UPI"/>
    <s v="Completed"/>
  </r>
  <r>
    <x v="1"/>
    <x v="11"/>
    <d v="2026-05-09T00:00:00"/>
    <x v="1"/>
    <x v="3"/>
    <x v="8"/>
    <s v="Namma Metro"/>
    <n v="591.29999999999995"/>
    <s v="Bank Transfer"/>
    <s v="Completed"/>
  </r>
  <r>
    <x v="1"/>
    <x v="11"/>
    <d v="2026-05-28T00:00:00"/>
    <x v="1"/>
    <x v="4"/>
    <x v="9"/>
    <s v="BESCOM"/>
    <n v="1100.7"/>
    <s v="Bank Transfer"/>
    <s v="Completed"/>
  </r>
  <r>
    <x v="1"/>
    <x v="11"/>
    <d v="2026-05-03T00:00:00"/>
    <x v="1"/>
    <x v="4"/>
    <x v="10"/>
    <s v="Airtel"/>
    <n v="525.6"/>
    <s v="Debit Card"/>
    <s v="Completed"/>
  </r>
  <r>
    <x v="1"/>
    <x v="11"/>
    <d v="2026-05-18T00:00:00"/>
    <x v="1"/>
    <x v="4"/>
    <x v="11"/>
    <s v="Jio"/>
    <n v="368.1"/>
    <s v="Debit Card"/>
    <s v="Completed"/>
  </r>
  <r>
    <x v="1"/>
    <x v="11"/>
    <d v="2026-05-07T00:00:00"/>
    <x v="1"/>
    <x v="4"/>
    <x v="12"/>
    <s v="Indane"/>
    <n v="387.9"/>
    <s v="Bank Transfer"/>
    <s v="Completed"/>
  </r>
  <r>
    <x v="1"/>
    <x v="11"/>
    <d v="2026-05-28T00:00:00"/>
    <x v="1"/>
    <x v="5"/>
    <x v="13"/>
    <s v="AJIO"/>
    <n v="918"/>
    <s v="UPI"/>
    <s v="Completed"/>
  </r>
  <r>
    <x v="1"/>
    <x v="11"/>
    <d v="2026-05-17T00:00:00"/>
    <x v="1"/>
    <x v="5"/>
    <x v="14"/>
    <s v="DMart"/>
    <n v="810"/>
    <s v="Debit Card"/>
    <s v="Completed"/>
  </r>
  <r>
    <x v="1"/>
    <x v="11"/>
    <d v="2026-05-12T00:00:00"/>
    <x v="1"/>
    <x v="6"/>
    <x v="15"/>
    <s v="Netmeds"/>
    <n v="690.3"/>
    <s v="Bank Transfer"/>
    <s v="Completed"/>
  </r>
  <r>
    <x v="1"/>
    <x v="11"/>
    <d v="2026-05-05T00:00:00"/>
    <x v="1"/>
    <x v="6"/>
    <x v="16"/>
    <s v="Netflix"/>
    <n v="293.39999999999998"/>
    <s v="Debit Card"/>
    <s v="Completed"/>
  </r>
  <r>
    <x v="1"/>
    <x v="11"/>
    <d v="2026-05-15T00:00:00"/>
    <x v="1"/>
    <x v="6"/>
    <x v="17"/>
    <s v="BookMyShow"/>
    <n v="478.8"/>
    <s v="Debit Card"/>
    <s v="Completed"/>
  </r>
  <r>
    <x v="1"/>
    <x v="11"/>
    <d v="2026-05-23T00:00:00"/>
    <x v="1"/>
    <x v="6"/>
    <x v="18"/>
    <s v="Coursera"/>
    <n v="1226.7"/>
    <s v="Bank Transfer"/>
    <s v="Completed"/>
  </r>
  <r>
    <x v="1"/>
    <x v="11"/>
    <d v="2026-05-03T00:00:00"/>
    <x v="1"/>
    <x v="7"/>
    <x v="19"/>
    <s v="Insurance Provider"/>
    <n v="1315.8"/>
    <s v="UPI"/>
    <s v="Completed"/>
  </r>
  <r>
    <x v="1"/>
    <x v="11"/>
    <d v="2026-05-12T00:00:00"/>
    <x v="1"/>
    <x v="7"/>
    <x v="20"/>
    <s v="Insurance Provider"/>
    <n v="1578.6"/>
    <s v="Debit Card"/>
    <s v="Completed"/>
  </r>
  <r>
    <x v="1"/>
    <x v="11"/>
    <d v="2026-05-05T00:00:00"/>
    <x v="1"/>
    <x v="8"/>
    <x v="21"/>
    <s v="Bank EMI"/>
    <n v="4471.2"/>
    <s v="Bank Transfer"/>
    <s v="Completed"/>
  </r>
  <r>
    <x v="1"/>
    <x v="11"/>
    <d v="2026-05-03T00:00:00"/>
    <x v="2"/>
    <x v="9"/>
    <x v="22"/>
    <s v="AMC SIP"/>
    <n v="5373"/>
    <s v="Auto Debit"/>
    <s v="Completed"/>
  </r>
  <r>
    <x v="1"/>
    <x v="11"/>
    <d v="2026-05-16T00:00:00"/>
    <x v="2"/>
    <x v="9"/>
    <x v="23"/>
    <s v="AMC SIP"/>
    <n v="3358"/>
    <s v="Auto Debit"/>
    <s v="Completed"/>
  </r>
  <r>
    <x v="1"/>
    <x v="11"/>
    <d v="2026-05-09T00:00:00"/>
    <x v="2"/>
    <x v="9"/>
    <x v="24"/>
    <s v="PPF Account"/>
    <n v="2015"/>
    <s v="Auto Debit"/>
    <s v="Completed"/>
  </r>
  <r>
    <x v="1"/>
    <x v="11"/>
    <d v="2026-05-22T00:00:00"/>
    <x v="2"/>
    <x v="9"/>
    <x v="25"/>
    <s v="Gold Investment"/>
    <n v="1120"/>
    <s v="Auto Debit"/>
    <s v="Completed"/>
  </r>
  <r>
    <x v="0"/>
    <x v="7"/>
    <d v="2025-01-01T00:00:00"/>
    <x v="0"/>
    <x v="0"/>
    <x v="0"/>
    <s v="Employer"/>
    <n v="30602"/>
    <s v="Bank Transfer"/>
    <s v="Completed"/>
  </r>
  <r>
    <x v="0"/>
    <x v="7"/>
    <d v="2025-01-04T00:00:00"/>
    <x v="1"/>
    <x v="1"/>
    <x v="1"/>
    <s v="Landlord"/>
    <n v="7209.9"/>
    <s v="UPI"/>
    <s v="Completed"/>
  </r>
  <r>
    <x v="0"/>
    <x v="7"/>
    <d v="2025-01-10T00:00:00"/>
    <x v="1"/>
    <x v="1"/>
    <x v="2"/>
    <s v="Apartment Association"/>
    <n v="494.1"/>
    <s v="Debit Card"/>
    <s v="Completed"/>
  </r>
  <r>
    <x v="0"/>
    <x v="7"/>
    <d v="2025-01-19T00:00:00"/>
    <x v="1"/>
    <x v="2"/>
    <x v="3"/>
    <s v="DMart"/>
    <n v="1464.3"/>
    <s v="UPI"/>
    <s v="Completed"/>
  </r>
  <r>
    <x v="0"/>
    <x v="7"/>
    <d v="2025-01-06T00:00:00"/>
    <x v="1"/>
    <x v="2"/>
    <x v="4"/>
    <s v="Swiggy"/>
    <n v="762.3"/>
    <s v="Debit Card"/>
    <s v="Completed"/>
  </r>
  <r>
    <x v="0"/>
    <x v="7"/>
    <d v="2025-01-24T00:00:00"/>
    <x v="1"/>
    <x v="2"/>
    <x v="5"/>
    <s v="Swiggy"/>
    <n v="410.4"/>
    <s v="Bank Transfer"/>
    <s v="Completed"/>
  </r>
  <r>
    <x v="0"/>
    <x v="7"/>
    <d v="2025-01-08T00:00:00"/>
    <x v="1"/>
    <x v="3"/>
    <x v="6"/>
    <s v="IndianOil"/>
    <n v="551.70000000000005"/>
    <s v="Debit Card"/>
    <s v="Completed"/>
  </r>
  <r>
    <x v="0"/>
    <x v="7"/>
    <d v="2025-01-15T00:00:00"/>
    <x v="1"/>
    <x v="3"/>
    <x v="7"/>
    <s v="Ola"/>
    <n v="319.5"/>
    <s v="Bank Transfer"/>
    <s v="Completed"/>
  </r>
  <r>
    <x v="0"/>
    <x v="7"/>
    <d v="2025-01-16T00:00:00"/>
    <x v="1"/>
    <x v="3"/>
    <x v="8"/>
    <s v="BMTC"/>
    <n v="153"/>
    <s v="UPI"/>
    <s v="Completed"/>
  </r>
  <r>
    <x v="0"/>
    <x v="7"/>
    <d v="2025-01-08T00:00:00"/>
    <x v="1"/>
    <x v="4"/>
    <x v="9"/>
    <s v="BESCOM"/>
    <n v="600.29999999999995"/>
    <s v="Debit Card"/>
    <s v="Completed"/>
  </r>
  <r>
    <x v="0"/>
    <x v="7"/>
    <d v="2025-01-26T00:00:00"/>
    <x v="1"/>
    <x v="4"/>
    <x v="10"/>
    <s v="Airtel"/>
    <n v="182.7"/>
    <s v="Bank Transfer"/>
    <s v="Completed"/>
  </r>
  <r>
    <x v="0"/>
    <x v="7"/>
    <d v="2025-01-14T00:00:00"/>
    <x v="1"/>
    <x v="4"/>
    <x v="11"/>
    <s v="Jio"/>
    <n v="134.1"/>
    <s v="UPI"/>
    <s v="Completed"/>
  </r>
  <r>
    <x v="0"/>
    <x v="7"/>
    <d v="2025-01-13T00:00:00"/>
    <x v="1"/>
    <x v="4"/>
    <x v="12"/>
    <s v="Indane"/>
    <n v="154.80000000000001"/>
    <s v="Debit Card"/>
    <s v="Completed"/>
  </r>
  <r>
    <x v="0"/>
    <x v="7"/>
    <d v="2025-01-28T00:00:00"/>
    <x v="1"/>
    <x v="5"/>
    <x v="13"/>
    <s v="AJIO"/>
    <n v="702.9"/>
    <s v="Bank Transfer"/>
    <s v="Completed"/>
  </r>
  <r>
    <x v="0"/>
    <x v="7"/>
    <d v="2025-01-25T00:00:00"/>
    <x v="1"/>
    <x v="5"/>
    <x v="14"/>
    <s v="Amazon"/>
    <n v="398.7"/>
    <s v="Debit Card"/>
    <s v="Completed"/>
  </r>
  <r>
    <x v="0"/>
    <x v="7"/>
    <d v="2025-01-09T00:00:00"/>
    <x v="1"/>
    <x v="6"/>
    <x v="15"/>
    <s v="Netmeds"/>
    <n v="218.7"/>
    <s v="Debit Card"/>
    <s v="Completed"/>
  </r>
  <r>
    <x v="0"/>
    <x v="7"/>
    <d v="2025-01-17T00:00:00"/>
    <x v="1"/>
    <x v="6"/>
    <x v="16"/>
    <s v="Netflix"/>
    <n v="96.3"/>
    <s v="Debit Card"/>
    <s v="Completed"/>
  </r>
  <r>
    <x v="0"/>
    <x v="7"/>
    <d v="2025-01-12T00:00:00"/>
    <x v="1"/>
    <x v="6"/>
    <x v="17"/>
    <s v="BookMyShow"/>
    <n v="113.4"/>
    <s v="Bank Transfer"/>
    <s v="Completed"/>
  </r>
  <r>
    <x v="0"/>
    <x v="7"/>
    <d v="2025-01-07T00:00:00"/>
    <x v="1"/>
    <x v="6"/>
    <x v="18"/>
    <s v="Coursera"/>
    <n v="328.5"/>
    <s v="UPI"/>
    <s v="Completed"/>
  </r>
  <r>
    <x v="0"/>
    <x v="7"/>
    <d v="2025-01-21T00:00:00"/>
    <x v="1"/>
    <x v="7"/>
    <x v="19"/>
    <s v="Insurance Provider"/>
    <n v="478.8"/>
    <s v="Debit Card"/>
    <s v="Completed"/>
  </r>
  <r>
    <x v="0"/>
    <x v="7"/>
    <d v="2025-01-20T00:00:00"/>
    <x v="1"/>
    <x v="7"/>
    <x v="20"/>
    <s v="Insurance Provider"/>
    <n v="551.70000000000005"/>
    <s v="UPI"/>
    <s v="Completed"/>
  </r>
  <r>
    <x v="0"/>
    <x v="7"/>
    <d v="2025-01-22T00:00:00"/>
    <x v="1"/>
    <x v="8"/>
    <x v="21"/>
    <s v="Bank EMI"/>
    <n v="1642.5"/>
    <s v="UPI"/>
    <s v="Completed"/>
  </r>
  <r>
    <x v="0"/>
    <x v="7"/>
    <d v="2025-01-17T00:00:00"/>
    <x v="2"/>
    <x v="9"/>
    <x v="22"/>
    <s v="AMC SIP"/>
    <n v="1925"/>
    <s v="Auto Debit"/>
    <s v="Completed"/>
  </r>
  <r>
    <x v="0"/>
    <x v="7"/>
    <d v="2025-01-04T00:00:00"/>
    <x v="2"/>
    <x v="9"/>
    <x v="23"/>
    <s v="AMC SIP"/>
    <n v="1266"/>
    <s v="Auto Debit"/>
    <s v="Completed"/>
  </r>
  <r>
    <x v="0"/>
    <x v="7"/>
    <d v="2025-01-15T00:00:00"/>
    <x v="2"/>
    <x v="9"/>
    <x v="24"/>
    <s v="PPF Account"/>
    <n v="730"/>
    <s v="Auto Debit"/>
    <s v="Completed"/>
  </r>
  <r>
    <x v="0"/>
    <x v="7"/>
    <d v="2025-01-09T00:00:00"/>
    <x v="2"/>
    <x v="9"/>
    <x v="25"/>
    <s v="Gold Investment"/>
    <n v="426"/>
    <s v="Auto Debit"/>
    <s v="Completed"/>
  </r>
  <r>
    <x v="0"/>
    <x v="8"/>
    <d v="2025-02-01T00:00:00"/>
    <x v="0"/>
    <x v="0"/>
    <x v="0"/>
    <s v="Employer"/>
    <n v="32438"/>
    <s v="Bank Transfer"/>
    <s v="Completed"/>
  </r>
  <r>
    <x v="0"/>
    <x v="8"/>
    <d v="2025-02-22T00:00:00"/>
    <x v="1"/>
    <x v="1"/>
    <x v="1"/>
    <s v="Landlord"/>
    <n v="8114.4"/>
    <s v="Bank Transfer"/>
    <s v="Completed"/>
  </r>
  <r>
    <x v="0"/>
    <x v="8"/>
    <d v="2025-02-03T00:00:00"/>
    <x v="1"/>
    <x v="1"/>
    <x v="2"/>
    <s v="Apartment Association"/>
    <n v="693.9"/>
    <s v="UPI"/>
    <s v="Completed"/>
  </r>
  <r>
    <x v="0"/>
    <x v="8"/>
    <d v="2025-02-08T00:00:00"/>
    <x v="1"/>
    <x v="2"/>
    <x v="3"/>
    <s v="DMart"/>
    <n v="2502.9"/>
    <s v="Bank Transfer"/>
    <s v="Completed"/>
  </r>
  <r>
    <x v="0"/>
    <x v="8"/>
    <d v="2025-02-06T00:00:00"/>
    <x v="1"/>
    <x v="2"/>
    <x v="4"/>
    <s v="Swiggy"/>
    <n v="920.7"/>
    <s v="UPI"/>
    <s v="Completed"/>
  </r>
  <r>
    <x v="0"/>
    <x v="8"/>
    <d v="2025-02-17T00:00:00"/>
    <x v="1"/>
    <x v="2"/>
    <x v="5"/>
    <s v="Swiggy"/>
    <n v="793.8"/>
    <s v="Bank Transfer"/>
    <s v="Completed"/>
  </r>
  <r>
    <x v="0"/>
    <x v="8"/>
    <d v="2025-02-08T00:00:00"/>
    <x v="1"/>
    <x v="3"/>
    <x v="6"/>
    <s v="HPCL"/>
    <n v="936.9"/>
    <s v="Bank Transfer"/>
    <s v="Completed"/>
  </r>
  <r>
    <x v="0"/>
    <x v="8"/>
    <d v="2025-02-10T00:00:00"/>
    <x v="1"/>
    <x v="3"/>
    <x v="7"/>
    <s v="Ola"/>
    <n v="339.3"/>
    <s v="UPI"/>
    <s v="Completed"/>
  </r>
  <r>
    <x v="0"/>
    <x v="8"/>
    <d v="2025-02-21T00:00:00"/>
    <x v="1"/>
    <x v="3"/>
    <x v="8"/>
    <s v="Namma Metro"/>
    <n v="310.5"/>
    <s v="UPI"/>
    <s v="Completed"/>
  </r>
  <r>
    <x v="0"/>
    <x v="8"/>
    <d v="2025-02-11T00:00:00"/>
    <x v="1"/>
    <x v="4"/>
    <x v="9"/>
    <s v="BESCOM"/>
    <n v="569.70000000000005"/>
    <s v="Bank Transfer"/>
    <s v="Completed"/>
  </r>
  <r>
    <x v="0"/>
    <x v="8"/>
    <d v="2025-02-02T00:00:00"/>
    <x v="1"/>
    <x v="4"/>
    <x v="10"/>
    <s v="JioFiber"/>
    <n v="279"/>
    <s v="Bank Transfer"/>
    <s v="Completed"/>
  </r>
  <r>
    <x v="0"/>
    <x v="8"/>
    <d v="2025-02-23T00:00:00"/>
    <x v="1"/>
    <x v="4"/>
    <x v="11"/>
    <s v="Jio"/>
    <n v="205.2"/>
    <s v="Debit Card"/>
    <s v="Completed"/>
  </r>
  <r>
    <x v="0"/>
    <x v="8"/>
    <d v="2025-02-24T00:00:00"/>
    <x v="1"/>
    <x v="4"/>
    <x v="12"/>
    <s v="Indane"/>
    <n v="259.2"/>
    <s v="UPI"/>
    <s v="Completed"/>
  </r>
  <r>
    <x v="0"/>
    <x v="8"/>
    <d v="2025-02-20T00:00:00"/>
    <x v="1"/>
    <x v="5"/>
    <x v="13"/>
    <s v="Myntra"/>
    <n v="458.1"/>
    <s v="UPI"/>
    <s v="Completed"/>
  </r>
  <r>
    <x v="0"/>
    <x v="8"/>
    <d v="2025-02-24T00:00:00"/>
    <x v="1"/>
    <x v="5"/>
    <x v="14"/>
    <s v="DMart"/>
    <n v="641.70000000000005"/>
    <s v="Bank Transfer"/>
    <s v="Completed"/>
  </r>
  <r>
    <x v="0"/>
    <x v="8"/>
    <d v="2025-02-21T00:00:00"/>
    <x v="1"/>
    <x v="6"/>
    <x v="15"/>
    <s v="Apollo Pharmacy"/>
    <n v="162"/>
    <s v="Bank Transfer"/>
    <s v="Completed"/>
  </r>
  <r>
    <x v="0"/>
    <x v="8"/>
    <d v="2025-02-27T00:00:00"/>
    <x v="1"/>
    <x v="6"/>
    <x v="16"/>
    <s v="Netflix"/>
    <n v="244.8"/>
    <s v="Debit Card"/>
    <s v="Completed"/>
  </r>
  <r>
    <x v="0"/>
    <x v="8"/>
    <d v="2025-02-19T00:00:00"/>
    <x v="1"/>
    <x v="6"/>
    <x v="17"/>
    <s v="BookMyShow"/>
    <n v="190.8"/>
    <s v="Bank Transfer"/>
    <s v="Completed"/>
  </r>
  <r>
    <x v="0"/>
    <x v="8"/>
    <d v="2025-02-13T00:00:00"/>
    <x v="1"/>
    <x v="6"/>
    <x v="18"/>
    <s v="Udemy"/>
    <n v="255.6"/>
    <s v="Bank Transfer"/>
    <s v="Completed"/>
  </r>
  <r>
    <x v="0"/>
    <x v="8"/>
    <d v="2025-02-22T00:00:00"/>
    <x v="1"/>
    <x v="7"/>
    <x v="19"/>
    <s v="Insurance Provider"/>
    <n v="732.6"/>
    <s v="UPI"/>
    <s v="Completed"/>
  </r>
  <r>
    <x v="0"/>
    <x v="8"/>
    <d v="2025-02-15T00:00:00"/>
    <x v="1"/>
    <x v="7"/>
    <x v="20"/>
    <s v="Insurance Provider"/>
    <n v="828"/>
    <s v="UPI"/>
    <s v="Completed"/>
  </r>
  <r>
    <x v="0"/>
    <x v="8"/>
    <d v="2025-02-15T00:00:00"/>
    <x v="1"/>
    <x v="8"/>
    <x v="21"/>
    <s v="Bank EMI"/>
    <n v="2464.1999999999998"/>
    <s v="Bank Transfer"/>
    <s v="Completed"/>
  </r>
  <r>
    <x v="0"/>
    <x v="8"/>
    <d v="2025-02-17T00:00:00"/>
    <x v="2"/>
    <x v="9"/>
    <x v="22"/>
    <s v="AMC SIP"/>
    <n v="2820"/>
    <s v="Auto Debit"/>
    <s v="Completed"/>
  </r>
  <r>
    <x v="0"/>
    <x v="8"/>
    <d v="2025-02-16T00:00:00"/>
    <x v="2"/>
    <x v="9"/>
    <x v="23"/>
    <s v="AMC SIP"/>
    <n v="1853"/>
    <s v="Auto Debit"/>
    <s v="Completed"/>
  </r>
  <r>
    <x v="0"/>
    <x v="8"/>
    <d v="2025-02-26T00:00:00"/>
    <x v="2"/>
    <x v="9"/>
    <x v="24"/>
    <s v="PPF Account"/>
    <n v="1047"/>
    <s v="Auto Debit"/>
    <s v="Completed"/>
  </r>
  <r>
    <x v="0"/>
    <x v="8"/>
    <d v="2025-02-22T00:00:00"/>
    <x v="2"/>
    <x v="9"/>
    <x v="25"/>
    <s v="Gold Investment"/>
    <n v="612"/>
    <s v="Auto Debit"/>
    <s v="Completed"/>
  </r>
  <r>
    <x v="0"/>
    <x v="9"/>
    <d v="2025-03-01T00:00:00"/>
    <x v="0"/>
    <x v="0"/>
    <x v="0"/>
    <s v="Employer"/>
    <n v="36049"/>
    <s v="Bank Transfer"/>
    <s v="Completed"/>
  </r>
  <r>
    <x v="0"/>
    <x v="9"/>
    <d v="2025-03-23T00:00:00"/>
    <x v="1"/>
    <x v="1"/>
    <x v="1"/>
    <s v="Landlord"/>
    <n v="8587.7999999999993"/>
    <s v="Debit Card"/>
    <s v="Completed"/>
  </r>
  <r>
    <x v="0"/>
    <x v="9"/>
    <d v="2025-03-02T00:00:00"/>
    <x v="1"/>
    <x v="1"/>
    <x v="2"/>
    <s v="Apartment Association"/>
    <n v="777.6"/>
    <s v="Debit Card"/>
    <s v="Completed"/>
  </r>
  <r>
    <x v="0"/>
    <x v="9"/>
    <d v="2025-03-07T00:00:00"/>
    <x v="1"/>
    <x v="2"/>
    <x v="3"/>
    <s v="Reliance Smart"/>
    <n v="2862.9"/>
    <s v="UPI"/>
    <s v="Completed"/>
  </r>
  <r>
    <x v="0"/>
    <x v="9"/>
    <d v="2025-03-13T00:00:00"/>
    <x v="1"/>
    <x v="2"/>
    <x v="4"/>
    <s v="Zomato"/>
    <n v="963"/>
    <s v="Debit Card"/>
    <s v="Completed"/>
  </r>
  <r>
    <x v="0"/>
    <x v="9"/>
    <d v="2025-03-10T00:00:00"/>
    <x v="1"/>
    <x v="2"/>
    <x v="5"/>
    <s v="Zomato"/>
    <n v="570.6"/>
    <s v="Bank Transfer"/>
    <s v="Completed"/>
  </r>
  <r>
    <x v="0"/>
    <x v="9"/>
    <d v="2025-03-02T00:00:00"/>
    <x v="1"/>
    <x v="3"/>
    <x v="6"/>
    <s v="BPCL"/>
    <n v="867.6"/>
    <s v="UPI"/>
    <s v="Completed"/>
  </r>
  <r>
    <x v="0"/>
    <x v="9"/>
    <d v="2025-03-04T00:00:00"/>
    <x v="1"/>
    <x v="3"/>
    <x v="7"/>
    <s v="Uber"/>
    <n v="531.9"/>
    <s v="Bank Transfer"/>
    <s v="Completed"/>
  </r>
  <r>
    <x v="0"/>
    <x v="9"/>
    <d v="2025-03-15T00:00:00"/>
    <x v="1"/>
    <x v="3"/>
    <x v="8"/>
    <s v="BMTC"/>
    <n v="343.8"/>
    <s v="Bank Transfer"/>
    <s v="Completed"/>
  </r>
  <r>
    <x v="0"/>
    <x v="9"/>
    <d v="2025-03-26T00:00:00"/>
    <x v="1"/>
    <x v="4"/>
    <x v="9"/>
    <s v="BESCOM"/>
    <n v="607.5"/>
    <s v="Bank Transfer"/>
    <s v="Completed"/>
  </r>
  <r>
    <x v="0"/>
    <x v="9"/>
    <d v="2025-03-17T00:00:00"/>
    <x v="1"/>
    <x v="4"/>
    <x v="10"/>
    <s v="JioFiber"/>
    <n v="288.89999999999998"/>
    <s v="Debit Card"/>
    <s v="Completed"/>
  </r>
  <r>
    <x v="0"/>
    <x v="9"/>
    <d v="2025-03-27T00:00:00"/>
    <x v="1"/>
    <x v="4"/>
    <x v="11"/>
    <s v="Airtel"/>
    <n v="213.3"/>
    <s v="UPI"/>
    <s v="Completed"/>
  </r>
  <r>
    <x v="0"/>
    <x v="9"/>
    <d v="2025-03-11T00:00:00"/>
    <x v="1"/>
    <x v="4"/>
    <x v="12"/>
    <s v="Indane"/>
    <n v="245.7"/>
    <s v="Debit Card"/>
    <s v="Completed"/>
  </r>
  <r>
    <x v="0"/>
    <x v="9"/>
    <d v="2025-03-24T00:00:00"/>
    <x v="1"/>
    <x v="5"/>
    <x v="13"/>
    <s v="Myntra"/>
    <n v="1026"/>
    <s v="Debit Card"/>
    <s v="Completed"/>
  </r>
  <r>
    <x v="0"/>
    <x v="9"/>
    <d v="2025-03-23T00:00:00"/>
    <x v="1"/>
    <x v="5"/>
    <x v="14"/>
    <s v="DMart"/>
    <n v="491.4"/>
    <s v="Debit Card"/>
    <s v="Completed"/>
  </r>
  <r>
    <x v="0"/>
    <x v="9"/>
    <d v="2025-03-19T00:00:00"/>
    <x v="1"/>
    <x v="6"/>
    <x v="15"/>
    <s v="Netmeds"/>
    <n v="385.2"/>
    <s v="Debit Card"/>
    <s v="Completed"/>
  </r>
  <r>
    <x v="0"/>
    <x v="9"/>
    <d v="2025-03-25T00:00:00"/>
    <x v="1"/>
    <x v="6"/>
    <x v="16"/>
    <s v="Amazon Prime"/>
    <n v="186.3"/>
    <s v="Debit Card"/>
    <s v="Completed"/>
  </r>
  <r>
    <x v="0"/>
    <x v="9"/>
    <d v="2025-03-24T00:00:00"/>
    <x v="1"/>
    <x v="6"/>
    <x v="17"/>
    <s v="BookMyShow"/>
    <n v="271.8"/>
    <s v="Debit Card"/>
    <s v="Completed"/>
  </r>
  <r>
    <x v="0"/>
    <x v="9"/>
    <d v="2025-03-11T00:00:00"/>
    <x v="1"/>
    <x v="6"/>
    <x v="18"/>
    <s v="Coursera"/>
    <n v="721.8"/>
    <s v="UPI"/>
    <s v="Completed"/>
  </r>
  <r>
    <x v="0"/>
    <x v="9"/>
    <d v="2025-03-05T00:00:00"/>
    <x v="1"/>
    <x v="7"/>
    <x v="19"/>
    <s v="Insurance Provider"/>
    <n v="760.5"/>
    <s v="Debit Card"/>
    <s v="Completed"/>
  </r>
  <r>
    <x v="0"/>
    <x v="9"/>
    <d v="2025-03-05T00:00:00"/>
    <x v="1"/>
    <x v="7"/>
    <x v="20"/>
    <s v="Insurance Provider"/>
    <n v="875.7"/>
    <s v="UPI"/>
    <s v="Completed"/>
  </r>
  <r>
    <x v="0"/>
    <x v="9"/>
    <d v="2025-03-08T00:00:00"/>
    <x v="1"/>
    <x v="8"/>
    <x v="21"/>
    <s v="Bank EMI"/>
    <n v="2607.3000000000002"/>
    <s v="Debit Card"/>
    <s v="Completed"/>
  </r>
  <r>
    <x v="0"/>
    <x v="9"/>
    <d v="2025-03-26T00:00:00"/>
    <x v="2"/>
    <x v="9"/>
    <x v="22"/>
    <s v="AMC SIP"/>
    <n v="3070"/>
    <s v="Auto Debit"/>
    <s v="Completed"/>
  </r>
  <r>
    <x v="0"/>
    <x v="9"/>
    <d v="2025-03-06T00:00:00"/>
    <x v="2"/>
    <x v="9"/>
    <x v="23"/>
    <s v="AMC SIP"/>
    <n v="2019"/>
    <s v="Auto Debit"/>
    <s v="Completed"/>
  </r>
  <r>
    <x v="0"/>
    <x v="9"/>
    <d v="2025-03-12T00:00:00"/>
    <x v="2"/>
    <x v="9"/>
    <x v="24"/>
    <s v="PPF Account"/>
    <n v="1163"/>
    <s v="Auto Debit"/>
    <s v="Completed"/>
  </r>
  <r>
    <x v="0"/>
    <x v="9"/>
    <d v="2025-03-14T00:00:00"/>
    <x v="2"/>
    <x v="9"/>
    <x v="25"/>
    <s v="Gold Investment"/>
    <n v="680"/>
    <s v="Auto Debit"/>
    <s v="Completed"/>
  </r>
  <r>
    <x v="0"/>
    <x v="10"/>
    <d v="2025-04-01T00:00:00"/>
    <x v="0"/>
    <x v="0"/>
    <x v="0"/>
    <s v="Employer"/>
    <n v="28545"/>
    <s v="Bank Transfer"/>
    <s v="Completed"/>
  </r>
  <r>
    <x v="0"/>
    <x v="10"/>
    <d v="2025-04-11T00:00:00"/>
    <x v="1"/>
    <x v="1"/>
    <x v="1"/>
    <s v="Landlord"/>
    <n v="7212.6"/>
    <s v="Debit Card"/>
    <s v="Completed"/>
  </r>
  <r>
    <x v="0"/>
    <x v="10"/>
    <d v="2025-04-16T00:00:00"/>
    <x v="1"/>
    <x v="1"/>
    <x v="2"/>
    <s v="Apartment Association"/>
    <n v="452.7"/>
    <s v="UPI"/>
    <s v="Completed"/>
  </r>
  <r>
    <x v="0"/>
    <x v="10"/>
    <d v="2025-04-03T00:00:00"/>
    <x v="1"/>
    <x v="2"/>
    <x v="3"/>
    <s v="Reliance Smart"/>
    <n v="2389.5"/>
    <s v="Debit Card"/>
    <s v="Completed"/>
  </r>
  <r>
    <x v="0"/>
    <x v="10"/>
    <d v="2025-04-05T00:00:00"/>
    <x v="1"/>
    <x v="2"/>
    <x v="4"/>
    <s v="Swiggy"/>
    <n v="666"/>
    <s v="Debit Card"/>
    <s v="Completed"/>
  </r>
  <r>
    <x v="0"/>
    <x v="10"/>
    <d v="2025-04-17T00:00:00"/>
    <x v="1"/>
    <x v="2"/>
    <x v="5"/>
    <s v="Swiggy"/>
    <n v="454.5"/>
    <s v="Bank Transfer"/>
    <s v="Completed"/>
  </r>
  <r>
    <x v="0"/>
    <x v="10"/>
    <d v="2025-04-22T00:00:00"/>
    <x v="1"/>
    <x v="3"/>
    <x v="6"/>
    <s v="BPCL"/>
    <n v="641.70000000000005"/>
    <s v="UPI"/>
    <s v="Completed"/>
  </r>
  <r>
    <x v="0"/>
    <x v="10"/>
    <d v="2025-04-06T00:00:00"/>
    <x v="1"/>
    <x v="3"/>
    <x v="7"/>
    <s v="Uber"/>
    <n v="248.4"/>
    <s v="Bank Transfer"/>
    <s v="Completed"/>
  </r>
  <r>
    <x v="0"/>
    <x v="10"/>
    <d v="2025-04-11T00:00:00"/>
    <x v="1"/>
    <x v="3"/>
    <x v="8"/>
    <s v="Namma Metro"/>
    <n v="241.2"/>
    <s v="UPI"/>
    <s v="Completed"/>
  </r>
  <r>
    <x v="0"/>
    <x v="10"/>
    <d v="2025-04-05T00:00:00"/>
    <x v="1"/>
    <x v="4"/>
    <x v="9"/>
    <s v="BESCOM"/>
    <n v="617.4"/>
    <s v="Bank Transfer"/>
    <s v="Completed"/>
  </r>
  <r>
    <x v="0"/>
    <x v="10"/>
    <d v="2025-04-21T00:00:00"/>
    <x v="1"/>
    <x v="4"/>
    <x v="10"/>
    <s v="Airtel"/>
    <n v="247.5"/>
    <s v="Bank Transfer"/>
    <s v="Completed"/>
  </r>
  <r>
    <x v="0"/>
    <x v="10"/>
    <d v="2025-04-14T00:00:00"/>
    <x v="1"/>
    <x v="4"/>
    <x v="11"/>
    <s v="Jio"/>
    <n v="182.7"/>
    <s v="Debit Card"/>
    <s v="Completed"/>
  </r>
  <r>
    <x v="0"/>
    <x v="10"/>
    <d v="2025-04-11T00:00:00"/>
    <x v="1"/>
    <x v="4"/>
    <x v="12"/>
    <s v="Indane"/>
    <n v="259.2"/>
    <s v="Debit Card"/>
    <s v="Completed"/>
  </r>
  <r>
    <x v="0"/>
    <x v="10"/>
    <d v="2025-04-20T00:00:00"/>
    <x v="1"/>
    <x v="5"/>
    <x v="13"/>
    <s v="Myntra"/>
    <n v="519.29999999999995"/>
    <s v="Bank Transfer"/>
    <s v="Completed"/>
  </r>
  <r>
    <x v="0"/>
    <x v="10"/>
    <d v="2025-04-25T00:00:00"/>
    <x v="1"/>
    <x v="5"/>
    <x v="14"/>
    <s v="Amazon"/>
    <n v="546.29999999999995"/>
    <s v="UPI"/>
    <s v="Completed"/>
  </r>
  <r>
    <x v="0"/>
    <x v="10"/>
    <d v="2025-04-22T00:00:00"/>
    <x v="1"/>
    <x v="6"/>
    <x v="15"/>
    <s v="Apollo Pharmacy"/>
    <n v="157.5"/>
    <s v="Debit Card"/>
    <s v="Completed"/>
  </r>
  <r>
    <x v="0"/>
    <x v="10"/>
    <d v="2025-04-23T00:00:00"/>
    <x v="1"/>
    <x v="6"/>
    <x v="16"/>
    <s v="Netflix"/>
    <n v="207.9"/>
    <s v="UPI"/>
    <s v="Completed"/>
  </r>
  <r>
    <x v="0"/>
    <x v="10"/>
    <d v="2025-04-09T00:00:00"/>
    <x v="1"/>
    <x v="6"/>
    <x v="17"/>
    <s v="BookMyShow"/>
    <n v="81"/>
    <s v="Bank Transfer"/>
    <s v="Completed"/>
  </r>
  <r>
    <x v="0"/>
    <x v="10"/>
    <d v="2025-04-04T00:00:00"/>
    <x v="1"/>
    <x v="6"/>
    <x v="18"/>
    <s v="Udemy"/>
    <n v="582.29999999999995"/>
    <s v="UPI"/>
    <s v="Completed"/>
  </r>
  <r>
    <x v="0"/>
    <x v="10"/>
    <d v="2025-04-15T00:00:00"/>
    <x v="1"/>
    <x v="7"/>
    <x v="19"/>
    <s v="Insurance Provider"/>
    <n v="650.70000000000005"/>
    <s v="Bank Transfer"/>
    <s v="Completed"/>
  </r>
  <r>
    <x v="0"/>
    <x v="10"/>
    <d v="2025-04-21T00:00:00"/>
    <x v="1"/>
    <x v="7"/>
    <x v="20"/>
    <s v="Insurance Provider"/>
    <n v="735.3"/>
    <s v="Debit Card"/>
    <s v="Completed"/>
  </r>
  <r>
    <x v="0"/>
    <x v="10"/>
    <d v="2025-04-03T00:00:00"/>
    <x v="1"/>
    <x v="8"/>
    <x v="21"/>
    <s v="Bank EMI"/>
    <n v="2189.6999999999998"/>
    <s v="Debit Card"/>
    <s v="Completed"/>
  </r>
  <r>
    <x v="0"/>
    <x v="10"/>
    <d v="2025-04-25T00:00:00"/>
    <x v="2"/>
    <x v="9"/>
    <x v="22"/>
    <s v="AMC SIP"/>
    <n v="2481"/>
    <s v="Auto Debit"/>
    <s v="Completed"/>
  </r>
  <r>
    <x v="0"/>
    <x v="10"/>
    <d v="2025-04-25T00:00:00"/>
    <x v="2"/>
    <x v="9"/>
    <x v="23"/>
    <s v="AMC SIP"/>
    <n v="1630"/>
    <s v="Auto Debit"/>
    <s v="Completed"/>
  </r>
  <r>
    <x v="0"/>
    <x v="10"/>
    <d v="2025-04-05T00:00:00"/>
    <x v="2"/>
    <x v="9"/>
    <x v="24"/>
    <s v="PPF Account"/>
    <n v="922"/>
    <s v="Auto Debit"/>
    <s v="Completed"/>
  </r>
  <r>
    <x v="0"/>
    <x v="10"/>
    <d v="2025-04-11T00:00:00"/>
    <x v="2"/>
    <x v="9"/>
    <x v="25"/>
    <s v="Gold Investment"/>
    <n v="539"/>
    <s v="Auto Debit"/>
    <s v="Completed"/>
  </r>
  <r>
    <x v="0"/>
    <x v="11"/>
    <d v="2025-05-01T00:00:00"/>
    <x v="0"/>
    <x v="0"/>
    <x v="0"/>
    <s v="Employer"/>
    <n v="35091"/>
    <s v="Bank Transfer"/>
    <s v="Completed"/>
  </r>
  <r>
    <x v="0"/>
    <x v="11"/>
    <d v="2025-05-11T00:00:00"/>
    <x v="1"/>
    <x v="1"/>
    <x v="1"/>
    <s v="Landlord"/>
    <n v="13419.9"/>
    <s v="UPI"/>
    <s v="Completed"/>
  </r>
  <r>
    <x v="0"/>
    <x v="11"/>
    <d v="2025-05-16T00:00:00"/>
    <x v="1"/>
    <x v="1"/>
    <x v="2"/>
    <s v="Apartment Association"/>
    <n v="425.7"/>
    <s v="Bank Transfer"/>
    <s v="Completed"/>
  </r>
  <r>
    <x v="0"/>
    <x v="11"/>
    <d v="2025-05-14T00:00:00"/>
    <x v="1"/>
    <x v="2"/>
    <x v="3"/>
    <s v="Reliance Smart"/>
    <n v="230.4"/>
    <s v="Bank Transfer"/>
    <s v="Completed"/>
  </r>
  <r>
    <x v="0"/>
    <x v="11"/>
    <d v="2025-05-19T00:00:00"/>
    <x v="1"/>
    <x v="2"/>
    <x v="4"/>
    <s v="Zomato"/>
    <n v="659.7"/>
    <s v="Debit Card"/>
    <s v="Completed"/>
  </r>
  <r>
    <x v="0"/>
    <x v="11"/>
    <d v="2025-05-04T00:00:00"/>
    <x v="1"/>
    <x v="2"/>
    <x v="5"/>
    <s v="Swiggy"/>
    <n v="561.6"/>
    <s v="Debit Card"/>
    <s v="Completed"/>
  </r>
  <r>
    <x v="0"/>
    <x v="11"/>
    <d v="2025-05-25T00:00:00"/>
    <x v="1"/>
    <x v="3"/>
    <x v="6"/>
    <s v="HPCL"/>
    <n v="47.7"/>
    <s v="Bank Transfer"/>
    <s v="Completed"/>
  </r>
  <r>
    <x v="0"/>
    <x v="11"/>
    <d v="2025-05-10T00:00:00"/>
    <x v="1"/>
    <x v="3"/>
    <x v="7"/>
    <s v="Uber"/>
    <n v="258.3"/>
    <s v="UPI"/>
    <s v="Completed"/>
  </r>
  <r>
    <x v="0"/>
    <x v="11"/>
    <d v="2025-05-09T00:00:00"/>
    <x v="1"/>
    <x v="3"/>
    <x v="8"/>
    <s v="Namma Metro"/>
    <n v="238.5"/>
    <s v="Bank Transfer"/>
    <s v="Completed"/>
  </r>
  <r>
    <x v="0"/>
    <x v="11"/>
    <d v="2025-05-28T00:00:00"/>
    <x v="1"/>
    <x v="4"/>
    <x v="9"/>
    <s v="BESCOM"/>
    <n v="465.3"/>
    <s v="Bank Transfer"/>
    <s v="Completed"/>
  </r>
  <r>
    <x v="0"/>
    <x v="11"/>
    <d v="2025-05-03T00:00:00"/>
    <x v="1"/>
    <x v="4"/>
    <x v="10"/>
    <s v="Airtel"/>
    <n v="29.7"/>
    <s v="Debit Card"/>
    <s v="Completed"/>
  </r>
  <r>
    <x v="0"/>
    <x v="11"/>
    <d v="2025-05-18T00:00:00"/>
    <x v="1"/>
    <x v="4"/>
    <x v="11"/>
    <s v="Jio"/>
    <n v="153.9"/>
    <s v="Debit Card"/>
    <s v="Completed"/>
  </r>
  <r>
    <x v="0"/>
    <x v="11"/>
    <d v="2025-05-07T00:00:00"/>
    <x v="1"/>
    <x v="4"/>
    <x v="12"/>
    <s v="Indane"/>
    <n v="155.69999999999999"/>
    <s v="Bank Transfer"/>
    <s v="Completed"/>
  </r>
  <r>
    <x v="0"/>
    <x v="11"/>
    <d v="2025-05-28T00:00:00"/>
    <x v="1"/>
    <x v="5"/>
    <x v="13"/>
    <s v="AJIO"/>
    <n v="387.9"/>
    <s v="UPI"/>
    <s v="Completed"/>
  </r>
  <r>
    <x v="0"/>
    <x v="11"/>
    <d v="2025-05-17T00:00:00"/>
    <x v="1"/>
    <x v="5"/>
    <x v="14"/>
    <s v="DMart"/>
    <n v="322.2"/>
    <s v="Debit Card"/>
    <s v="Completed"/>
  </r>
  <r>
    <x v="0"/>
    <x v="11"/>
    <d v="2025-05-12T00:00:00"/>
    <x v="1"/>
    <x v="6"/>
    <x v="15"/>
    <s v="Netmeds"/>
    <n v="18.899999999999999"/>
    <s v="Bank Transfer"/>
    <s v="Completed"/>
  </r>
  <r>
    <x v="0"/>
    <x v="11"/>
    <d v="2025-05-05T00:00:00"/>
    <x v="1"/>
    <x v="6"/>
    <x v="16"/>
    <s v="Netflix"/>
    <n v="117.9"/>
    <s v="Debit Card"/>
    <s v="Completed"/>
  </r>
  <r>
    <x v="0"/>
    <x v="11"/>
    <d v="2025-05-15T00:00:00"/>
    <x v="1"/>
    <x v="6"/>
    <x v="17"/>
    <s v="BookMyShow"/>
    <n v="202.5"/>
    <s v="Debit Card"/>
    <s v="Completed"/>
  </r>
  <r>
    <x v="0"/>
    <x v="11"/>
    <d v="2025-05-23T00:00:00"/>
    <x v="1"/>
    <x v="6"/>
    <x v="18"/>
    <s v="Coursera"/>
    <n v="487.8"/>
    <s v="Bank Transfer"/>
    <s v="Completed"/>
  </r>
  <r>
    <x v="0"/>
    <x v="11"/>
    <d v="2025-05-03T00:00:00"/>
    <x v="1"/>
    <x v="7"/>
    <x v="19"/>
    <s v="Insurance Provider"/>
    <n v="550.79999999999995"/>
    <s v="UPI"/>
    <s v="Completed"/>
  </r>
  <r>
    <x v="0"/>
    <x v="11"/>
    <d v="2025-05-12T00:00:00"/>
    <x v="1"/>
    <x v="7"/>
    <x v="20"/>
    <s v="Insurance Provider"/>
    <n v="634.5"/>
    <s v="Debit Card"/>
    <s v="Completed"/>
  </r>
  <r>
    <x v="0"/>
    <x v="11"/>
    <d v="2025-05-05T00:00:00"/>
    <x v="1"/>
    <x v="8"/>
    <x v="21"/>
    <s v="Bank EMI"/>
    <n v="1888.2"/>
    <s v="Bank Transfer"/>
    <s v="Completed"/>
  </r>
  <r>
    <x v="0"/>
    <x v="11"/>
    <d v="2025-05-03T00:00:00"/>
    <x v="2"/>
    <x v="9"/>
    <x v="22"/>
    <s v="AMC SIP"/>
    <n v="2137"/>
    <s v="Auto Debit"/>
    <s v="Completed"/>
  </r>
  <r>
    <x v="0"/>
    <x v="11"/>
    <d v="2025-05-16T00:00:00"/>
    <x v="2"/>
    <x v="9"/>
    <x v="23"/>
    <s v="AMC SIP"/>
    <n v="1405"/>
    <s v="Auto Debit"/>
    <s v="Completed"/>
  </r>
  <r>
    <x v="0"/>
    <x v="11"/>
    <d v="2025-05-09T00:00:00"/>
    <x v="2"/>
    <x v="9"/>
    <x v="24"/>
    <s v="PPF Account"/>
    <n v="810"/>
    <s v="Auto Debit"/>
    <s v="Completed"/>
  </r>
  <r>
    <x v="0"/>
    <x v="11"/>
    <d v="2025-05-22T00:00:00"/>
    <x v="2"/>
    <x v="9"/>
    <x v="25"/>
    <s v="Gold Investment"/>
    <n v="473"/>
    <s v="Auto Debit"/>
    <s v="Completed"/>
  </r>
  <r>
    <x v="1"/>
    <x v="0"/>
    <d v="2026-06-01T00:00:00"/>
    <x v="0"/>
    <x v="0"/>
    <x v="0"/>
    <s v="Employer"/>
    <n v="74934"/>
    <s v="Bank Transfer"/>
    <s v="Completed"/>
  </r>
  <r>
    <x v="1"/>
    <x v="0"/>
    <d v="2026-06-04T00:00:00"/>
    <x v="1"/>
    <x v="1"/>
    <x v="1"/>
    <s v="Landlord"/>
    <n v="18556.2"/>
    <s v="UPI"/>
    <s v="Completed"/>
  </r>
  <r>
    <x v="1"/>
    <x v="0"/>
    <d v="2026-06-18T00:00:00"/>
    <x v="1"/>
    <x v="1"/>
    <x v="2"/>
    <s v="Apartment Association"/>
    <n v="1344.6"/>
    <s v="Bank Transfer"/>
    <s v="Completed"/>
  </r>
  <r>
    <x v="1"/>
    <x v="0"/>
    <d v="2026-06-08T00:00:00"/>
    <x v="1"/>
    <x v="2"/>
    <x v="3"/>
    <s v="BigBasket"/>
    <n v="4707"/>
    <s v="Bank Transfer"/>
    <s v="Completed"/>
  </r>
  <r>
    <x v="1"/>
    <x v="0"/>
    <d v="2026-06-24T00:00:00"/>
    <x v="1"/>
    <x v="2"/>
    <x v="4"/>
    <s v="Local Restaurant"/>
    <n v="2205"/>
    <s v="Debit Card"/>
    <s v="Completed"/>
  </r>
  <r>
    <x v="1"/>
    <x v="0"/>
    <d v="2026-06-09T00:00:00"/>
    <x v="1"/>
    <x v="2"/>
    <x v="5"/>
    <s v="Zomato"/>
    <n v="1127.7"/>
    <s v="Bank Transfer"/>
    <s v="Completed"/>
  </r>
  <r>
    <x v="1"/>
    <x v="0"/>
    <d v="2026-06-10T00:00:00"/>
    <x v="1"/>
    <x v="3"/>
    <x v="6"/>
    <s v="IndianOil"/>
    <n v="1960.2"/>
    <s v="UPI"/>
    <s v="Completed"/>
  </r>
  <r>
    <x v="1"/>
    <x v="0"/>
    <d v="2026-06-24T00:00:00"/>
    <x v="1"/>
    <x v="3"/>
    <x v="7"/>
    <s v="Ola"/>
    <n v="691.2"/>
    <s v="Debit Card"/>
    <s v="Completed"/>
  </r>
  <r>
    <x v="1"/>
    <x v="0"/>
    <d v="2026-06-10T00:00:00"/>
    <x v="1"/>
    <x v="3"/>
    <x v="8"/>
    <s v="Namma Metro"/>
    <n v="714.6"/>
    <s v="UPI"/>
    <s v="Completed"/>
  </r>
  <r>
    <x v="1"/>
    <x v="0"/>
    <d v="2026-06-26T00:00:00"/>
    <x v="1"/>
    <x v="4"/>
    <x v="9"/>
    <s v="BESCOM"/>
    <n v="1332"/>
    <s v="UPI"/>
    <s v="Completed"/>
  </r>
  <r>
    <x v="1"/>
    <x v="0"/>
    <d v="2026-06-04T00:00:00"/>
    <x v="1"/>
    <x v="4"/>
    <x v="10"/>
    <s v="JioFiber"/>
    <n v="662.4"/>
    <s v="UPI"/>
    <s v="Completed"/>
  </r>
  <r>
    <x v="1"/>
    <x v="0"/>
    <d v="2026-06-13T00:00:00"/>
    <x v="1"/>
    <x v="4"/>
    <x v="11"/>
    <s v="Jio"/>
    <n v="463.5"/>
    <s v="Bank Transfer"/>
    <s v="Completed"/>
  </r>
  <r>
    <x v="1"/>
    <x v="0"/>
    <d v="2026-06-10T00:00:00"/>
    <x v="1"/>
    <x v="4"/>
    <x v="12"/>
    <s v="Indane"/>
    <n v="693.9"/>
    <s v="Bank Transfer"/>
    <s v="Completed"/>
  </r>
  <r>
    <x v="1"/>
    <x v="0"/>
    <d v="2026-06-16T00:00:00"/>
    <x v="1"/>
    <x v="5"/>
    <x v="13"/>
    <s v="Myntra"/>
    <n v="2474.1"/>
    <s v="Debit Card"/>
    <s v="Completed"/>
  </r>
  <r>
    <x v="1"/>
    <x v="0"/>
    <d v="2026-06-04T00:00:00"/>
    <x v="1"/>
    <x v="5"/>
    <x v="14"/>
    <s v="DMart"/>
    <n v="913.5"/>
    <s v="Bank Transfer"/>
    <s v="Completed"/>
  </r>
  <r>
    <x v="1"/>
    <x v="0"/>
    <d v="2026-06-21T00:00:00"/>
    <x v="1"/>
    <x v="6"/>
    <x v="15"/>
    <s v="Netmeds"/>
    <n v="731.7"/>
    <s v="Bank Transfer"/>
    <s v="Completed"/>
  </r>
  <r>
    <x v="1"/>
    <x v="0"/>
    <d v="2026-06-08T00:00:00"/>
    <x v="1"/>
    <x v="6"/>
    <x v="16"/>
    <s v="Netflix"/>
    <n v="408.6"/>
    <s v="UPI"/>
    <s v="Completed"/>
  </r>
  <r>
    <x v="1"/>
    <x v="0"/>
    <d v="2026-06-23T00:00:00"/>
    <x v="1"/>
    <x v="6"/>
    <x v="17"/>
    <s v="BookMyShow"/>
    <n v="220.5"/>
    <s v="Debit Card"/>
    <s v="Completed"/>
  </r>
  <r>
    <x v="1"/>
    <x v="0"/>
    <d v="2026-06-04T00:00:00"/>
    <x v="1"/>
    <x v="6"/>
    <x v="18"/>
    <s v="Udemy"/>
    <n v="81"/>
    <s v="UPI"/>
    <s v="Completed"/>
  </r>
  <r>
    <x v="1"/>
    <x v="0"/>
    <d v="2026-06-14T00:00:00"/>
    <x v="1"/>
    <x v="7"/>
    <x v="19"/>
    <s v="Insurance Provider"/>
    <n v="1656.9"/>
    <s v="Debit Card"/>
    <s v="Completed"/>
  </r>
  <r>
    <x v="1"/>
    <x v="0"/>
    <d v="2026-06-22T00:00:00"/>
    <x v="1"/>
    <x v="7"/>
    <x v="20"/>
    <s v="Insurance Provider"/>
    <n v="1988.1"/>
    <s v="UPI"/>
    <s v="Completed"/>
  </r>
  <r>
    <x v="1"/>
    <x v="0"/>
    <d v="2026-06-13T00:00:00"/>
    <x v="1"/>
    <x v="8"/>
    <x v="21"/>
    <s v="Bank EMI"/>
    <n v="5633.1"/>
    <s v="UPI"/>
    <s v="Completed"/>
  </r>
  <r>
    <x v="1"/>
    <x v="0"/>
    <d v="2026-06-24T00:00:00"/>
    <x v="2"/>
    <x v="9"/>
    <x v="22"/>
    <s v="AMC SIP"/>
    <n v="6448"/>
    <s v="Auto Debit"/>
    <s v="Completed"/>
  </r>
  <r>
    <x v="1"/>
    <x v="0"/>
    <d v="2026-06-25T00:00:00"/>
    <x v="2"/>
    <x v="9"/>
    <x v="23"/>
    <s v="AMC SIP"/>
    <n v="4030"/>
    <s v="Auto Debit"/>
    <s v="Completed"/>
  </r>
  <r>
    <x v="1"/>
    <x v="0"/>
    <d v="2026-06-22T00:00:00"/>
    <x v="2"/>
    <x v="9"/>
    <x v="24"/>
    <s v="PPF Account"/>
    <n v="2418"/>
    <s v="Auto Debit"/>
    <s v="Completed"/>
  </r>
  <r>
    <x v="1"/>
    <x v="0"/>
    <d v="2026-06-20T00:00:00"/>
    <x v="2"/>
    <x v="9"/>
    <x v="25"/>
    <s v="Gold Investment"/>
    <n v="1344"/>
    <s v="Auto Debit"/>
    <s v="Completed"/>
  </r>
  <r>
    <x v="1"/>
    <x v="1"/>
    <d v="2026-07-01T00:00:00"/>
    <x v="0"/>
    <x v="0"/>
    <x v="0"/>
    <s v="Employer"/>
    <n v="82427"/>
    <s v="Bank Transfer"/>
    <s v="Completed"/>
  </r>
  <r>
    <x v="1"/>
    <x v="1"/>
    <d v="2026-07-10T00:00:00"/>
    <x v="1"/>
    <x v="1"/>
    <x v="1"/>
    <s v="Landlord"/>
    <n v="19178.099999999999"/>
    <s v="UPI"/>
    <s v="Completed"/>
  </r>
  <r>
    <x v="1"/>
    <x v="1"/>
    <d v="2026-07-20T00:00:00"/>
    <x v="1"/>
    <x v="1"/>
    <x v="2"/>
    <s v="Apartment Association"/>
    <n v="1881"/>
    <s v="UPI"/>
    <s v="Completed"/>
  </r>
  <r>
    <x v="1"/>
    <x v="1"/>
    <d v="2026-07-22T00:00:00"/>
    <x v="1"/>
    <x v="2"/>
    <x v="3"/>
    <s v="Reliance Smart"/>
    <n v="5859"/>
    <s v="Debit Card"/>
    <s v="Completed"/>
  </r>
  <r>
    <x v="1"/>
    <x v="1"/>
    <d v="2026-07-22T00:00:00"/>
    <x v="1"/>
    <x v="2"/>
    <x v="4"/>
    <s v="Zomato"/>
    <n v="2264.4"/>
    <s v="UPI"/>
    <s v="Completed"/>
  </r>
  <r>
    <x v="1"/>
    <x v="1"/>
    <d v="2026-07-10T00:00:00"/>
    <x v="1"/>
    <x v="2"/>
    <x v="5"/>
    <s v="Swiggy"/>
    <n v="1719.9"/>
    <s v="UPI"/>
    <s v="Completed"/>
  </r>
  <r>
    <x v="1"/>
    <x v="1"/>
    <d v="2026-07-25T00:00:00"/>
    <x v="1"/>
    <x v="3"/>
    <x v="6"/>
    <s v="BPCL"/>
    <n v="2677.5"/>
    <s v="Bank Transfer"/>
    <s v="Completed"/>
  </r>
  <r>
    <x v="1"/>
    <x v="1"/>
    <d v="2026-07-10T00:00:00"/>
    <x v="1"/>
    <x v="3"/>
    <x v="7"/>
    <s v="Ola"/>
    <n v="1007.1"/>
    <s v="Bank Transfer"/>
    <s v="Completed"/>
  </r>
  <r>
    <x v="1"/>
    <x v="1"/>
    <d v="2026-07-14T00:00:00"/>
    <x v="1"/>
    <x v="3"/>
    <x v="8"/>
    <s v="BMTC"/>
    <n v="556.20000000000005"/>
    <s v="UPI"/>
    <s v="Completed"/>
  </r>
  <r>
    <x v="1"/>
    <x v="1"/>
    <d v="2026-07-06T00:00:00"/>
    <x v="1"/>
    <x v="4"/>
    <x v="9"/>
    <s v="BESCOM"/>
    <n v="1688.4"/>
    <s v="UPI"/>
    <s v="Completed"/>
  </r>
  <r>
    <x v="1"/>
    <x v="1"/>
    <d v="2026-07-26T00:00:00"/>
    <x v="1"/>
    <x v="4"/>
    <x v="10"/>
    <s v="Airtel"/>
    <n v="684.9"/>
    <s v="UPI"/>
    <s v="Completed"/>
  </r>
  <r>
    <x v="1"/>
    <x v="1"/>
    <d v="2026-07-06T00:00:00"/>
    <x v="1"/>
    <x v="4"/>
    <x v="11"/>
    <s v="Airtel"/>
    <n v="478.8"/>
    <s v="Bank Transfer"/>
    <s v="Completed"/>
  </r>
  <r>
    <x v="1"/>
    <x v="1"/>
    <d v="2026-07-15T00:00:00"/>
    <x v="1"/>
    <x v="4"/>
    <x v="12"/>
    <s v="Indane"/>
    <n v="748.8"/>
    <s v="Debit Card"/>
    <s v="Completed"/>
  </r>
  <r>
    <x v="1"/>
    <x v="1"/>
    <d v="2026-07-14T00:00:00"/>
    <x v="1"/>
    <x v="5"/>
    <x v="13"/>
    <s v="AJIO"/>
    <n v="1184.4000000000001"/>
    <s v="Bank Transfer"/>
    <s v="Completed"/>
  </r>
  <r>
    <x v="1"/>
    <x v="1"/>
    <d v="2026-07-10T00:00:00"/>
    <x v="1"/>
    <x v="5"/>
    <x v="14"/>
    <s v="Amazon"/>
    <n v="1143.9000000000001"/>
    <s v="Bank Transfer"/>
    <s v="Completed"/>
  </r>
  <r>
    <x v="1"/>
    <x v="1"/>
    <d v="2026-07-25T00:00:00"/>
    <x v="1"/>
    <x v="6"/>
    <x v="15"/>
    <s v="Apollo Pharmacy"/>
    <n v="918.9"/>
    <s v="Bank Transfer"/>
    <s v="Completed"/>
  </r>
  <r>
    <x v="1"/>
    <x v="1"/>
    <d v="2026-07-19T00:00:00"/>
    <x v="1"/>
    <x v="6"/>
    <x v="16"/>
    <s v="Amazon Prime"/>
    <n v="285.3"/>
    <s v="Bank Transfer"/>
    <s v="Completed"/>
  </r>
  <r>
    <x v="1"/>
    <x v="1"/>
    <d v="2026-07-12T00:00:00"/>
    <x v="1"/>
    <x v="6"/>
    <x v="17"/>
    <s v="BookMyShow"/>
    <n v="427.5"/>
    <s v="Debit Card"/>
    <s v="Completed"/>
  </r>
  <r>
    <x v="1"/>
    <x v="1"/>
    <d v="2026-07-15T00:00:00"/>
    <x v="1"/>
    <x v="6"/>
    <x v="18"/>
    <s v="Udemy"/>
    <n v="1125.9000000000001"/>
    <s v="Debit Card"/>
    <s v="Completed"/>
  </r>
  <r>
    <x v="1"/>
    <x v="1"/>
    <d v="2026-07-02T00:00:00"/>
    <x v="1"/>
    <x v="7"/>
    <x v="19"/>
    <s v="Insurance Provider"/>
    <n v="1712.7"/>
    <s v="Bank Transfer"/>
    <s v="Completed"/>
  </r>
  <r>
    <x v="1"/>
    <x v="1"/>
    <d v="2026-07-26T00:00:00"/>
    <x v="1"/>
    <x v="7"/>
    <x v="20"/>
    <s v="Insurance Provider"/>
    <n v="2055.6"/>
    <s v="Bank Transfer"/>
    <s v="Completed"/>
  </r>
  <r>
    <x v="1"/>
    <x v="1"/>
    <d v="2026-07-05T00:00:00"/>
    <x v="1"/>
    <x v="8"/>
    <x v="21"/>
    <s v="Bank EMI"/>
    <n v="5822.1"/>
    <s v="Bank Transfer"/>
    <s v="Completed"/>
  </r>
  <r>
    <x v="1"/>
    <x v="1"/>
    <d v="2026-07-19T00:00:00"/>
    <x v="2"/>
    <x v="9"/>
    <x v="22"/>
    <s v="AMC SIP"/>
    <n v="7092"/>
    <s v="Auto Debit"/>
    <s v="Completed"/>
  </r>
  <r>
    <x v="1"/>
    <x v="1"/>
    <d v="2026-07-07T00:00:00"/>
    <x v="2"/>
    <x v="9"/>
    <x v="23"/>
    <s v="AMC SIP"/>
    <n v="4433"/>
    <s v="Auto Debit"/>
    <s v="Completed"/>
  </r>
  <r>
    <x v="1"/>
    <x v="1"/>
    <d v="2026-07-27T00:00:00"/>
    <x v="2"/>
    <x v="9"/>
    <x v="24"/>
    <s v="PPF Account"/>
    <n v="2660"/>
    <s v="Auto Debit"/>
    <s v="Completed"/>
  </r>
  <r>
    <x v="1"/>
    <x v="1"/>
    <d v="2026-07-20T00:00:00"/>
    <x v="2"/>
    <x v="9"/>
    <x v="25"/>
    <s v="Gold Investment"/>
    <n v="1478"/>
    <s v="Auto Debit"/>
    <s v="Completed"/>
  </r>
  <r>
    <x v="1"/>
    <x v="2"/>
    <d v="2026-08-01T00:00:00"/>
    <x v="0"/>
    <x v="0"/>
    <x v="0"/>
    <s v="Employer"/>
    <n v="98912"/>
    <s v="Bank Transfer"/>
    <s v="Completed"/>
  </r>
  <r>
    <x v="1"/>
    <x v="2"/>
    <d v="2026-08-25T00:00:00"/>
    <x v="1"/>
    <x v="1"/>
    <x v="1"/>
    <s v="Landlord"/>
    <n v="24077.7"/>
    <s v="UPI"/>
    <s v="Completed"/>
  </r>
  <r>
    <x v="1"/>
    <x v="2"/>
    <d v="2026-08-26T00:00:00"/>
    <x v="1"/>
    <x v="1"/>
    <x v="2"/>
    <s v="Apartment Association"/>
    <n v="2118.6"/>
    <s v="UPI"/>
    <s v="Completed"/>
  </r>
  <r>
    <x v="1"/>
    <x v="2"/>
    <d v="2026-08-23T00:00:00"/>
    <x v="1"/>
    <x v="2"/>
    <x v="3"/>
    <s v="Reliance Smart"/>
    <n v="7740.9"/>
    <s v="Bank Transfer"/>
    <s v="Completed"/>
  </r>
  <r>
    <x v="1"/>
    <x v="2"/>
    <d v="2026-08-07T00:00:00"/>
    <x v="1"/>
    <x v="2"/>
    <x v="4"/>
    <s v="Zomato"/>
    <n v="1960.2"/>
    <s v="Bank Transfer"/>
    <s v="Completed"/>
  </r>
  <r>
    <x v="1"/>
    <x v="2"/>
    <d v="2026-08-21T00:00:00"/>
    <x v="1"/>
    <x v="2"/>
    <x v="5"/>
    <s v="Zomato"/>
    <n v="1229.4000000000001"/>
    <s v="UPI"/>
    <s v="Completed"/>
  </r>
  <r>
    <x v="1"/>
    <x v="2"/>
    <d v="2026-08-19T00:00:00"/>
    <x v="1"/>
    <x v="3"/>
    <x v="6"/>
    <s v="BPCL"/>
    <n v="2789.1"/>
    <s v="Bank Transfer"/>
    <s v="Completed"/>
  </r>
  <r>
    <x v="1"/>
    <x v="2"/>
    <d v="2026-08-08T00:00:00"/>
    <x v="1"/>
    <x v="3"/>
    <x v="7"/>
    <s v="Ola"/>
    <n v="1547.1"/>
    <s v="Debit Card"/>
    <s v="Completed"/>
  </r>
  <r>
    <x v="1"/>
    <x v="2"/>
    <d v="2026-08-23T00:00:00"/>
    <x v="1"/>
    <x v="3"/>
    <x v="8"/>
    <s v="BMTC"/>
    <n v="967.5"/>
    <s v="Debit Card"/>
    <s v="Completed"/>
  </r>
  <r>
    <x v="1"/>
    <x v="2"/>
    <d v="2026-08-18T00:00:00"/>
    <x v="1"/>
    <x v="4"/>
    <x v="9"/>
    <s v="BESCOM"/>
    <n v="2088.9"/>
    <s v="UPI"/>
    <s v="Completed"/>
  </r>
  <r>
    <x v="1"/>
    <x v="2"/>
    <d v="2026-08-09T00:00:00"/>
    <x v="1"/>
    <x v="4"/>
    <x v="10"/>
    <s v="Airtel"/>
    <n v="859.5"/>
    <s v="UPI"/>
    <s v="Completed"/>
  </r>
  <r>
    <x v="1"/>
    <x v="2"/>
    <d v="2026-08-12T00:00:00"/>
    <x v="1"/>
    <x v="4"/>
    <x v="11"/>
    <s v="Airtel"/>
    <n v="601.20000000000005"/>
    <s v="Bank Transfer"/>
    <s v="Completed"/>
  </r>
  <r>
    <x v="1"/>
    <x v="2"/>
    <d v="2026-08-19T00:00:00"/>
    <x v="1"/>
    <x v="4"/>
    <x v="12"/>
    <s v="Indane"/>
    <n v="707.4"/>
    <s v="Bank Transfer"/>
    <s v="Completed"/>
  </r>
  <r>
    <x v="1"/>
    <x v="2"/>
    <d v="2026-08-09T00:00:00"/>
    <x v="1"/>
    <x v="5"/>
    <x v="13"/>
    <s v="Myntra"/>
    <n v="1494"/>
    <s v="UPI"/>
    <s v="Completed"/>
  </r>
  <r>
    <x v="1"/>
    <x v="2"/>
    <d v="2026-08-24T00:00:00"/>
    <x v="1"/>
    <x v="5"/>
    <x v="14"/>
    <s v="Amazon"/>
    <n v="1456.2"/>
    <s v="UPI"/>
    <s v="Completed"/>
  </r>
  <r>
    <x v="1"/>
    <x v="2"/>
    <d v="2026-08-04T00:00:00"/>
    <x v="1"/>
    <x v="6"/>
    <x v="15"/>
    <s v="Apollo Pharmacy"/>
    <n v="1203.3"/>
    <s v="Debit Card"/>
    <s v="Completed"/>
  </r>
  <r>
    <x v="1"/>
    <x v="2"/>
    <d v="2026-08-04T00:00:00"/>
    <x v="1"/>
    <x v="6"/>
    <x v="16"/>
    <s v="Netflix"/>
    <n v="594"/>
    <s v="Debit Card"/>
    <s v="Completed"/>
  </r>
  <r>
    <x v="1"/>
    <x v="2"/>
    <d v="2026-08-23T00:00:00"/>
    <x v="1"/>
    <x v="6"/>
    <x v="17"/>
    <s v="BookMyShow"/>
    <n v="327.60000000000002"/>
    <s v="UPI"/>
    <s v="Completed"/>
  </r>
  <r>
    <x v="1"/>
    <x v="2"/>
    <d v="2026-08-19T00:00:00"/>
    <x v="1"/>
    <x v="6"/>
    <x v="18"/>
    <s v="Udemy"/>
    <n v="301.5"/>
    <s v="Bank Transfer"/>
    <s v="Completed"/>
  </r>
  <r>
    <x v="1"/>
    <x v="2"/>
    <d v="2026-08-20T00:00:00"/>
    <x v="1"/>
    <x v="7"/>
    <x v="19"/>
    <s v="Insurance Provider"/>
    <n v="2150.1"/>
    <s v="UPI"/>
    <s v="Completed"/>
  </r>
  <r>
    <x v="1"/>
    <x v="2"/>
    <d v="2026-08-27T00:00:00"/>
    <x v="1"/>
    <x v="7"/>
    <x v="20"/>
    <s v="Insurance Provider"/>
    <n v="2580.3000000000002"/>
    <s v="Debit Card"/>
    <s v="Completed"/>
  </r>
  <r>
    <x v="1"/>
    <x v="2"/>
    <d v="2026-08-08T00:00:00"/>
    <x v="1"/>
    <x v="8"/>
    <x v="21"/>
    <s v="Bank EMI"/>
    <n v="7309.8"/>
    <s v="UPI"/>
    <s v="Completed"/>
  </r>
  <r>
    <x v="1"/>
    <x v="2"/>
    <d v="2026-08-24T00:00:00"/>
    <x v="2"/>
    <x v="9"/>
    <x v="22"/>
    <s v="AMC SIP"/>
    <n v="8511"/>
    <s v="Auto Debit"/>
    <s v="Completed"/>
  </r>
  <r>
    <x v="1"/>
    <x v="2"/>
    <d v="2026-08-14T00:00:00"/>
    <x v="2"/>
    <x v="9"/>
    <x v="23"/>
    <s v="AMC SIP"/>
    <n v="5319"/>
    <s v="Auto Debit"/>
    <s v="Completed"/>
  </r>
  <r>
    <x v="1"/>
    <x v="2"/>
    <d v="2026-08-16T00:00:00"/>
    <x v="2"/>
    <x v="9"/>
    <x v="24"/>
    <s v="PPF Account"/>
    <n v="3192"/>
    <s v="Auto Debit"/>
    <s v="Completed"/>
  </r>
  <r>
    <x v="1"/>
    <x v="2"/>
    <d v="2026-08-26T00:00:00"/>
    <x v="2"/>
    <x v="9"/>
    <x v="25"/>
    <s v="Gold Investment"/>
    <n v="1773"/>
    <s v="Auto Debit"/>
    <s v="Completed"/>
  </r>
  <r>
    <x v="1"/>
    <x v="3"/>
    <d v="2026-09-01T00:00:00"/>
    <x v="0"/>
    <x v="0"/>
    <x v="0"/>
    <s v="Employer"/>
    <n v="84075"/>
    <s v="Bank Transfer"/>
    <s v="Completed"/>
  </r>
  <r>
    <x v="1"/>
    <x v="3"/>
    <d v="2026-09-07T00:00:00"/>
    <x v="1"/>
    <x v="1"/>
    <x v="1"/>
    <s v="Landlord"/>
    <n v="20042.099999999999"/>
    <s v="Debit Card"/>
    <s v="Completed"/>
  </r>
  <r>
    <x v="1"/>
    <x v="3"/>
    <d v="2026-09-09T00:00:00"/>
    <x v="1"/>
    <x v="1"/>
    <x v="2"/>
    <s v="Apartment Association"/>
    <n v="1432.8"/>
    <s v="Debit Card"/>
    <s v="Completed"/>
  </r>
  <r>
    <x v="1"/>
    <x v="3"/>
    <d v="2026-09-27T00:00:00"/>
    <x v="1"/>
    <x v="2"/>
    <x v="3"/>
    <s v="BigBasket"/>
    <n v="5188.5"/>
    <s v="UPI"/>
    <s v="Completed"/>
  </r>
  <r>
    <x v="1"/>
    <x v="3"/>
    <d v="2026-09-03T00:00:00"/>
    <x v="1"/>
    <x v="2"/>
    <x v="4"/>
    <s v="Local Restaurant"/>
    <n v="2755.8"/>
    <s v="Bank Transfer"/>
    <s v="Completed"/>
  </r>
  <r>
    <x v="1"/>
    <x v="3"/>
    <d v="2026-09-28T00:00:00"/>
    <x v="1"/>
    <x v="2"/>
    <x v="5"/>
    <s v="Swiggy"/>
    <n v="1926.9"/>
    <s v="UPI"/>
    <s v="Completed"/>
  </r>
  <r>
    <x v="1"/>
    <x v="3"/>
    <d v="2026-09-26T00:00:00"/>
    <x v="1"/>
    <x v="3"/>
    <x v="6"/>
    <s v="IndianOil"/>
    <n v="2286.9"/>
    <s v="UPI"/>
    <s v="Completed"/>
  </r>
  <r>
    <x v="1"/>
    <x v="3"/>
    <d v="2026-09-15T00:00:00"/>
    <x v="1"/>
    <x v="3"/>
    <x v="7"/>
    <s v="Ola"/>
    <n v="1231.2"/>
    <s v="Debit Card"/>
    <s v="Completed"/>
  </r>
  <r>
    <x v="1"/>
    <x v="3"/>
    <d v="2026-09-08T00:00:00"/>
    <x v="1"/>
    <x v="3"/>
    <x v="8"/>
    <s v="BMTC"/>
    <n v="817.2"/>
    <s v="UPI"/>
    <s v="Completed"/>
  </r>
  <r>
    <x v="1"/>
    <x v="3"/>
    <d v="2026-09-07T00:00:00"/>
    <x v="1"/>
    <x v="4"/>
    <x v="9"/>
    <s v="BESCOM"/>
    <n v="1448.1"/>
    <s v="UPI"/>
    <s v="Completed"/>
  </r>
  <r>
    <x v="1"/>
    <x v="3"/>
    <d v="2026-09-14T00:00:00"/>
    <x v="1"/>
    <x v="4"/>
    <x v="10"/>
    <s v="JioFiber"/>
    <n v="715.5"/>
    <s v="Debit Card"/>
    <s v="Completed"/>
  </r>
  <r>
    <x v="1"/>
    <x v="3"/>
    <d v="2026-09-11T00:00:00"/>
    <x v="1"/>
    <x v="4"/>
    <x v="11"/>
    <s v="Jio"/>
    <n v="500.4"/>
    <s v="Bank Transfer"/>
    <s v="Completed"/>
  </r>
  <r>
    <x v="1"/>
    <x v="3"/>
    <d v="2026-09-25T00:00:00"/>
    <x v="1"/>
    <x v="4"/>
    <x v="12"/>
    <s v="Indane"/>
    <n v="592.20000000000005"/>
    <s v="UPI"/>
    <s v="Completed"/>
  </r>
  <r>
    <x v="1"/>
    <x v="3"/>
    <d v="2026-09-08T00:00:00"/>
    <x v="1"/>
    <x v="5"/>
    <x v="13"/>
    <s v="AJIO"/>
    <n v="1635.3"/>
    <s v="UPI"/>
    <s v="Completed"/>
  </r>
  <r>
    <x v="1"/>
    <x v="3"/>
    <d v="2026-09-03T00:00:00"/>
    <x v="1"/>
    <x v="5"/>
    <x v="14"/>
    <s v="Amazon"/>
    <n v="1137.5999999999999"/>
    <s v="Bank Transfer"/>
    <s v="Completed"/>
  </r>
  <r>
    <x v="1"/>
    <x v="3"/>
    <d v="2026-09-12T00:00:00"/>
    <x v="1"/>
    <x v="6"/>
    <x v="15"/>
    <s v="Apollo Pharmacy"/>
    <n v="751.5"/>
    <s v="UPI"/>
    <s v="Completed"/>
  </r>
  <r>
    <x v="1"/>
    <x v="3"/>
    <d v="2026-09-20T00:00:00"/>
    <x v="1"/>
    <x v="6"/>
    <x v="16"/>
    <s v="Amazon Prime"/>
    <n v="450.9"/>
    <s v="Bank Transfer"/>
    <s v="Completed"/>
  </r>
  <r>
    <x v="1"/>
    <x v="3"/>
    <d v="2026-09-18T00:00:00"/>
    <x v="1"/>
    <x v="6"/>
    <x v="17"/>
    <s v="BookMyShow"/>
    <n v="317.7"/>
    <s v="UPI"/>
    <s v="Completed"/>
  </r>
  <r>
    <x v="1"/>
    <x v="3"/>
    <d v="2026-09-18T00:00:00"/>
    <x v="1"/>
    <x v="6"/>
    <x v="18"/>
    <s v="Udemy"/>
    <n v="1237.5"/>
    <s v="UPI"/>
    <s v="Completed"/>
  </r>
  <r>
    <x v="1"/>
    <x v="3"/>
    <d v="2026-09-04T00:00:00"/>
    <x v="1"/>
    <x v="7"/>
    <x v="19"/>
    <s v="Insurance Provider"/>
    <n v="1790.1"/>
    <s v="Bank Transfer"/>
    <s v="Completed"/>
  </r>
  <r>
    <x v="1"/>
    <x v="3"/>
    <d v="2026-09-09T00:00:00"/>
    <x v="1"/>
    <x v="7"/>
    <x v="20"/>
    <s v="Insurance Provider"/>
    <n v="2147.4"/>
    <s v="UPI"/>
    <s v="Completed"/>
  </r>
  <r>
    <x v="1"/>
    <x v="3"/>
    <d v="2026-09-20T00:00:00"/>
    <x v="1"/>
    <x v="8"/>
    <x v="21"/>
    <s v="Bank EMI"/>
    <n v="6084.9"/>
    <s v="Bank Transfer"/>
    <s v="Completed"/>
  </r>
  <r>
    <x v="1"/>
    <x v="3"/>
    <d v="2026-09-22T00:00:00"/>
    <x v="2"/>
    <x v="9"/>
    <x v="22"/>
    <s v="AMC SIP"/>
    <n v="7234"/>
    <s v="Auto Debit"/>
    <s v="Completed"/>
  </r>
  <r>
    <x v="1"/>
    <x v="3"/>
    <d v="2026-09-22T00:00:00"/>
    <x v="2"/>
    <x v="9"/>
    <x v="23"/>
    <s v="AMC SIP"/>
    <n v="4522"/>
    <s v="Auto Debit"/>
    <s v="Completed"/>
  </r>
  <r>
    <x v="1"/>
    <x v="3"/>
    <d v="2026-09-16T00:00:00"/>
    <x v="2"/>
    <x v="9"/>
    <x v="24"/>
    <s v="PPF Account"/>
    <n v="2713"/>
    <s v="Auto Debit"/>
    <s v="Completed"/>
  </r>
  <r>
    <x v="1"/>
    <x v="3"/>
    <d v="2026-09-11T00:00:00"/>
    <x v="2"/>
    <x v="9"/>
    <x v="25"/>
    <s v="Gold Investment"/>
    <n v="1508"/>
    <s v="Auto Debit"/>
    <s v="Completed"/>
  </r>
  <r>
    <x v="1"/>
    <x v="4"/>
    <d v="2026-10-01T00:00:00"/>
    <x v="0"/>
    <x v="0"/>
    <x v="0"/>
    <s v="Employer"/>
    <n v="88750"/>
    <s v="Bank Transfer"/>
    <s v="Completed"/>
  </r>
  <r>
    <x v="1"/>
    <x v="4"/>
    <d v="2026-10-05T00:00:00"/>
    <x v="1"/>
    <x v="1"/>
    <x v="1"/>
    <s v="Landlord"/>
    <n v="21486.6"/>
    <s v="Bank Transfer"/>
    <s v="Completed"/>
  </r>
  <r>
    <x v="1"/>
    <x v="4"/>
    <d v="2026-10-08T00:00:00"/>
    <x v="1"/>
    <x v="1"/>
    <x v="2"/>
    <s v="Apartment Association"/>
    <n v="1874.7"/>
    <s v="UPI"/>
    <s v="Completed"/>
  </r>
  <r>
    <x v="1"/>
    <x v="4"/>
    <d v="2026-10-13T00:00:00"/>
    <x v="1"/>
    <x v="2"/>
    <x v="3"/>
    <s v="DMart"/>
    <n v="6121.8"/>
    <s v="UPI"/>
    <s v="Completed"/>
  </r>
  <r>
    <x v="1"/>
    <x v="4"/>
    <d v="2026-10-13T00:00:00"/>
    <x v="1"/>
    <x v="2"/>
    <x v="4"/>
    <s v="Zomato"/>
    <n v="2522.6999999999998"/>
    <s v="UPI"/>
    <s v="Completed"/>
  </r>
  <r>
    <x v="1"/>
    <x v="4"/>
    <d v="2026-10-16T00:00:00"/>
    <x v="1"/>
    <x v="2"/>
    <x v="5"/>
    <s v="Zomato"/>
    <n v="1542.6"/>
    <s v="Bank Transfer"/>
    <s v="Completed"/>
  </r>
  <r>
    <x v="1"/>
    <x v="4"/>
    <d v="2026-10-27T00:00:00"/>
    <x v="1"/>
    <x v="3"/>
    <x v="6"/>
    <s v="BPCL"/>
    <n v="2124.9"/>
    <s v="Bank Transfer"/>
    <s v="Completed"/>
  </r>
  <r>
    <x v="1"/>
    <x v="4"/>
    <d v="2026-10-02T00:00:00"/>
    <x v="1"/>
    <x v="3"/>
    <x v="7"/>
    <s v="Ola"/>
    <n v="1218.5999999999999"/>
    <s v="Bank Transfer"/>
    <s v="Completed"/>
  </r>
  <r>
    <x v="1"/>
    <x v="4"/>
    <d v="2026-10-05T00:00:00"/>
    <x v="1"/>
    <x v="3"/>
    <x v="8"/>
    <s v="Namma Metro"/>
    <n v="791.1"/>
    <s v="Debit Card"/>
    <s v="Completed"/>
  </r>
  <r>
    <x v="1"/>
    <x v="4"/>
    <d v="2026-10-05T00:00:00"/>
    <x v="1"/>
    <x v="4"/>
    <x v="9"/>
    <s v="BESCOM"/>
    <n v="1853.1"/>
    <s v="Bank Transfer"/>
    <s v="Completed"/>
  </r>
  <r>
    <x v="1"/>
    <x v="4"/>
    <d v="2026-10-19T00:00:00"/>
    <x v="1"/>
    <x v="4"/>
    <x v="10"/>
    <s v="Airtel"/>
    <n v="766.8"/>
    <s v="Debit Card"/>
    <s v="Completed"/>
  </r>
  <r>
    <x v="1"/>
    <x v="4"/>
    <d v="2026-10-11T00:00:00"/>
    <x v="1"/>
    <x v="4"/>
    <x v="11"/>
    <s v="Airtel"/>
    <n v="536.4"/>
    <s v="Bank Transfer"/>
    <s v="Completed"/>
  </r>
  <r>
    <x v="1"/>
    <x v="4"/>
    <d v="2026-10-12T00:00:00"/>
    <x v="1"/>
    <x v="4"/>
    <x v="12"/>
    <s v="Indane"/>
    <n v="717.3"/>
    <s v="Bank Transfer"/>
    <s v="Completed"/>
  </r>
  <r>
    <x v="1"/>
    <x v="4"/>
    <d v="2026-10-22T00:00:00"/>
    <x v="1"/>
    <x v="5"/>
    <x v="13"/>
    <s v="AJIO"/>
    <n v="2145.6"/>
    <s v="Bank Transfer"/>
    <s v="Completed"/>
  </r>
  <r>
    <x v="1"/>
    <x v="4"/>
    <d v="2026-10-17T00:00:00"/>
    <x v="1"/>
    <x v="5"/>
    <x v="14"/>
    <s v="DMart"/>
    <n v="1035"/>
    <s v="UPI"/>
    <s v="Completed"/>
  </r>
  <r>
    <x v="1"/>
    <x v="4"/>
    <d v="2026-10-04T00:00:00"/>
    <x v="1"/>
    <x v="6"/>
    <x v="15"/>
    <s v="Netmeds"/>
    <n v="390.6"/>
    <s v="Debit Card"/>
    <s v="Completed"/>
  </r>
  <r>
    <x v="1"/>
    <x v="4"/>
    <d v="2026-10-03T00:00:00"/>
    <x v="1"/>
    <x v="6"/>
    <x v="16"/>
    <s v="Netflix"/>
    <n v="486.9"/>
    <s v="Debit Card"/>
    <s v="Completed"/>
  </r>
  <r>
    <x v="1"/>
    <x v="4"/>
    <d v="2026-10-26T00:00:00"/>
    <x v="1"/>
    <x v="6"/>
    <x v="17"/>
    <s v="BookMyShow"/>
    <n v="719.1"/>
    <s v="Bank Transfer"/>
    <s v="Completed"/>
  </r>
  <r>
    <x v="1"/>
    <x v="4"/>
    <d v="2026-10-10T00:00:00"/>
    <x v="1"/>
    <x v="6"/>
    <x v="18"/>
    <s v="Udemy"/>
    <n v="1770.3"/>
    <s v="Bank Transfer"/>
    <s v="Completed"/>
  </r>
  <r>
    <x v="1"/>
    <x v="4"/>
    <d v="2026-10-16T00:00:00"/>
    <x v="1"/>
    <x v="7"/>
    <x v="19"/>
    <s v="Insurance Provider"/>
    <n v="1918.8"/>
    <s v="Bank Transfer"/>
    <s v="Completed"/>
  </r>
  <r>
    <x v="1"/>
    <x v="4"/>
    <d v="2026-10-02T00:00:00"/>
    <x v="1"/>
    <x v="7"/>
    <x v="20"/>
    <s v="Insurance Provider"/>
    <n v="2302.1999999999998"/>
    <s v="UPI"/>
    <s v="Completed"/>
  </r>
  <r>
    <x v="1"/>
    <x v="4"/>
    <d v="2026-10-24T00:00:00"/>
    <x v="1"/>
    <x v="8"/>
    <x v="21"/>
    <s v="Bank EMI"/>
    <n v="6523.2"/>
    <s v="Bank Transfer"/>
    <s v="Completed"/>
  </r>
  <r>
    <x v="1"/>
    <x v="4"/>
    <d v="2026-10-04T00:00:00"/>
    <x v="2"/>
    <x v="9"/>
    <x v="22"/>
    <s v="AMC SIP"/>
    <n v="7636"/>
    <s v="Auto Debit"/>
    <s v="Completed"/>
  </r>
  <r>
    <x v="1"/>
    <x v="4"/>
    <d v="2026-10-21T00:00:00"/>
    <x v="2"/>
    <x v="9"/>
    <x v="23"/>
    <s v="AMC SIP"/>
    <n v="4773"/>
    <s v="Auto Debit"/>
    <s v="Completed"/>
  </r>
  <r>
    <x v="1"/>
    <x v="4"/>
    <d v="2026-10-16T00:00:00"/>
    <x v="2"/>
    <x v="9"/>
    <x v="24"/>
    <s v="PPF Account"/>
    <n v="2864"/>
    <s v="Auto Debit"/>
    <s v="Completed"/>
  </r>
  <r>
    <x v="1"/>
    <x v="4"/>
    <d v="2026-10-04T00:00:00"/>
    <x v="2"/>
    <x v="9"/>
    <x v="26"/>
    <s v="Others"/>
    <n v="1591"/>
    <s v="Auto Debit"/>
    <s v="Completed"/>
  </r>
  <r>
    <x v="1"/>
    <x v="5"/>
    <d v="2026-11-01T00:00:00"/>
    <x v="0"/>
    <x v="0"/>
    <x v="0"/>
    <s v="Employer"/>
    <n v="98368"/>
    <s v="Bank Transfer"/>
    <s v="Completed"/>
  </r>
  <r>
    <x v="1"/>
    <x v="5"/>
    <d v="2026-11-07T00:00:00"/>
    <x v="1"/>
    <x v="1"/>
    <x v="1"/>
    <s v="Landlord"/>
    <n v="26471.7"/>
    <s v="Debit Card"/>
    <s v="Completed"/>
  </r>
  <r>
    <x v="1"/>
    <x v="5"/>
    <d v="2026-11-02T00:00:00"/>
    <x v="1"/>
    <x v="1"/>
    <x v="2"/>
    <s v="Apartment Association"/>
    <n v="1778.4"/>
    <s v="Bank Transfer"/>
    <s v="Completed"/>
  </r>
  <r>
    <x v="1"/>
    <x v="5"/>
    <d v="2026-11-12T00:00:00"/>
    <x v="1"/>
    <x v="2"/>
    <x v="3"/>
    <s v="Reliance Smart"/>
    <n v="8002.8"/>
    <s v="Bank Transfer"/>
    <s v="Completed"/>
  </r>
  <r>
    <x v="1"/>
    <x v="5"/>
    <d v="2026-11-25T00:00:00"/>
    <x v="1"/>
    <x v="2"/>
    <x v="4"/>
    <s v="Swiggy"/>
    <n v="2893.5"/>
    <s v="Debit Card"/>
    <s v="Completed"/>
  </r>
  <r>
    <x v="1"/>
    <x v="5"/>
    <d v="2026-11-07T00:00:00"/>
    <x v="1"/>
    <x v="2"/>
    <x v="5"/>
    <s v="Swiggy"/>
    <n v="2454.3000000000002"/>
    <s v="Debit Card"/>
    <s v="Completed"/>
  </r>
  <r>
    <x v="1"/>
    <x v="5"/>
    <d v="2026-11-03T00:00:00"/>
    <x v="1"/>
    <x v="3"/>
    <x v="6"/>
    <s v="HPCL"/>
    <n v="2846.7"/>
    <s v="UPI"/>
    <s v="Completed"/>
  </r>
  <r>
    <x v="1"/>
    <x v="5"/>
    <d v="2026-11-08T00:00:00"/>
    <x v="1"/>
    <x v="3"/>
    <x v="7"/>
    <s v="Ola"/>
    <n v="1495.8"/>
    <s v="Debit Card"/>
    <s v="Completed"/>
  </r>
  <r>
    <x v="1"/>
    <x v="5"/>
    <d v="2026-11-11T00:00:00"/>
    <x v="1"/>
    <x v="3"/>
    <x v="8"/>
    <s v="Namma Metro"/>
    <n v="711"/>
    <s v="UPI"/>
    <s v="Completed"/>
  </r>
  <r>
    <x v="1"/>
    <x v="5"/>
    <d v="2026-11-02T00:00:00"/>
    <x v="1"/>
    <x v="4"/>
    <x v="9"/>
    <s v="BESCOM"/>
    <n v="2386.8000000000002"/>
    <s v="Debit Card"/>
    <s v="Completed"/>
  </r>
  <r>
    <x v="1"/>
    <x v="5"/>
    <d v="2026-11-12T00:00:00"/>
    <x v="1"/>
    <x v="4"/>
    <x v="10"/>
    <s v="JioFiber"/>
    <n v="945"/>
    <s v="UPI"/>
    <s v="Completed"/>
  </r>
  <r>
    <x v="1"/>
    <x v="5"/>
    <d v="2026-11-26T00:00:00"/>
    <x v="1"/>
    <x v="4"/>
    <x v="11"/>
    <s v="Jio"/>
    <n v="661.5"/>
    <s v="Debit Card"/>
    <s v="Completed"/>
  </r>
  <r>
    <x v="1"/>
    <x v="5"/>
    <d v="2026-11-22T00:00:00"/>
    <x v="1"/>
    <x v="4"/>
    <x v="12"/>
    <s v="Indane"/>
    <n v="1039.5"/>
    <s v="Bank Transfer"/>
    <s v="Completed"/>
  </r>
  <r>
    <x v="1"/>
    <x v="5"/>
    <d v="2026-11-28T00:00:00"/>
    <x v="1"/>
    <x v="5"/>
    <x v="13"/>
    <s v="AJIO"/>
    <n v="3586.5"/>
    <s v="UPI"/>
    <s v="Completed"/>
  </r>
  <r>
    <x v="1"/>
    <x v="5"/>
    <d v="2026-11-05T00:00:00"/>
    <x v="1"/>
    <x v="5"/>
    <x v="14"/>
    <s v="DMart"/>
    <n v="1921.5"/>
    <s v="UPI"/>
    <s v="Completed"/>
  </r>
  <r>
    <x v="1"/>
    <x v="5"/>
    <d v="2026-11-20T00:00:00"/>
    <x v="1"/>
    <x v="6"/>
    <x v="15"/>
    <s v="Netmeds"/>
    <n v="1415.7"/>
    <s v="UPI"/>
    <s v="Completed"/>
  </r>
  <r>
    <x v="1"/>
    <x v="5"/>
    <d v="2026-11-05T00:00:00"/>
    <x v="1"/>
    <x v="6"/>
    <x v="16"/>
    <s v="Amazon Prime"/>
    <n v="678.6"/>
    <s v="Debit Card"/>
    <s v="Completed"/>
  </r>
  <r>
    <x v="1"/>
    <x v="5"/>
    <d v="2026-11-25T00:00:00"/>
    <x v="1"/>
    <x v="6"/>
    <x v="17"/>
    <s v="BookMyShow"/>
    <n v="433.8"/>
    <s v="Debit Card"/>
    <s v="Completed"/>
  </r>
  <r>
    <x v="1"/>
    <x v="5"/>
    <d v="2026-11-21T00:00:00"/>
    <x v="1"/>
    <x v="6"/>
    <x v="18"/>
    <s v="Udemy"/>
    <n v="916.2"/>
    <s v="Debit Card"/>
    <s v="Completed"/>
  </r>
  <r>
    <x v="1"/>
    <x v="5"/>
    <d v="2026-11-20T00:00:00"/>
    <x v="1"/>
    <x v="7"/>
    <x v="19"/>
    <s v="Insurance Provider"/>
    <n v="2364.3000000000002"/>
    <s v="Debit Card"/>
    <s v="Completed"/>
  </r>
  <r>
    <x v="1"/>
    <x v="5"/>
    <d v="2026-11-03T00:00:00"/>
    <x v="1"/>
    <x v="7"/>
    <x v="20"/>
    <s v="Insurance Provider"/>
    <n v="2836.8"/>
    <s v="UPI"/>
    <s v="Completed"/>
  </r>
  <r>
    <x v="1"/>
    <x v="5"/>
    <d v="2026-11-18T00:00:00"/>
    <x v="1"/>
    <x v="8"/>
    <x v="21"/>
    <s v="Bank EMI"/>
    <n v="8036.1"/>
    <s v="Debit Card"/>
    <s v="Completed"/>
  </r>
  <r>
    <x v="1"/>
    <x v="5"/>
    <d v="2026-11-16T00:00:00"/>
    <x v="2"/>
    <x v="9"/>
    <x v="22"/>
    <s v="AMC SIP"/>
    <n v="8464"/>
    <s v="Auto Debit"/>
    <s v="Completed"/>
  </r>
  <r>
    <x v="1"/>
    <x v="5"/>
    <d v="2026-11-24T00:00:00"/>
    <x v="2"/>
    <x v="9"/>
    <x v="23"/>
    <s v="AMC SIP"/>
    <n v="5290"/>
    <s v="Auto Debit"/>
    <s v="Completed"/>
  </r>
  <r>
    <x v="1"/>
    <x v="5"/>
    <d v="2026-11-22T00:00:00"/>
    <x v="2"/>
    <x v="9"/>
    <x v="24"/>
    <s v="PPF Account"/>
    <n v="3174"/>
    <s v="Auto Debit"/>
    <s v="Completed"/>
  </r>
  <r>
    <x v="1"/>
    <x v="5"/>
    <d v="2026-11-24T00:00:00"/>
    <x v="2"/>
    <x v="9"/>
    <x v="26"/>
    <s v="Others"/>
    <n v="1764"/>
    <s v="Auto Debit"/>
    <s v="Completed"/>
  </r>
  <r>
    <x v="1"/>
    <x v="6"/>
    <d v="2026-12-01T00:00:00"/>
    <x v="0"/>
    <x v="0"/>
    <x v="0"/>
    <s v="Employer"/>
    <n v="112500"/>
    <s v="Bank Transfer"/>
    <s v="Completed"/>
  </r>
  <r>
    <x v="1"/>
    <x v="6"/>
    <d v="2026-12-21T00:00:00"/>
    <x v="1"/>
    <x v="1"/>
    <x v="1"/>
    <s v="Landlord"/>
    <n v="31386.6"/>
    <s v="Debit Card"/>
    <s v="Completed"/>
  </r>
  <r>
    <x v="1"/>
    <x v="6"/>
    <d v="2026-12-19T00:00:00"/>
    <x v="1"/>
    <x v="1"/>
    <x v="2"/>
    <s v="Apartment Association"/>
    <n v="2707.2"/>
    <s v="Debit Card"/>
    <s v="Completed"/>
  </r>
  <r>
    <x v="1"/>
    <x v="6"/>
    <d v="2026-12-11T00:00:00"/>
    <x v="1"/>
    <x v="2"/>
    <x v="3"/>
    <s v="DMart"/>
    <n v="10175.4"/>
    <s v="Debit Card"/>
    <s v="Completed"/>
  </r>
  <r>
    <x v="1"/>
    <x v="6"/>
    <d v="2026-12-27T00:00:00"/>
    <x v="1"/>
    <x v="2"/>
    <x v="4"/>
    <s v="Local Restaurant"/>
    <n v="3885.3"/>
    <s v="Bank Transfer"/>
    <s v="Completed"/>
  </r>
  <r>
    <x v="1"/>
    <x v="6"/>
    <d v="2026-12-22T00:00:00"/>
    <x v="1"/>
    <x v="2"/>
    <x v="5"/>
    <s v="Zomato"/>
    <n v="2875.5"/>
    <s v="Debit Card"/>
    <s v="Completed"/>
  </r>
  <r>
    <x v="1"/>
    <x v="6"/>
    <d v="2026-12-16T00:00:00"/>
    <x v="1"/>
    <x v="3"/>
    <x v="6"/>
    <s v="HPCL"/>
    <n v="3739.5"/>
    <s v="Bank Transfer"/>
    <s v="Completed"/>
  </r>
  <r>
    <x v="1"/>
    <x v="6"/>
    <d v="2026-12-08T00:00:00"/>
    <x v="1"/>
    <x v="3"/>
    <x v="7"/>
    <s v="Ola"/>
    <n v="1383.3"/>
    <s v="Bank Transfer"/>
    <s v="Completed"/>
  </r>
  <r>
    <x v="1"/>
    <x v="6"/>
    <d v="2026-12-07T00:00:00"/>
    <x v="1"/>
    <x v="3"/>
    <x v="8"/>
    <s v="Namma Metro"/>
    <n v="1016.1"/>
    <s v="Debit Card"/>
    <s v="Completed"/>
  </r>
  <r>
    <x v="1"/>
    <x v="6"/>
    <d v="2026-12-18T00:00:00"/>
    <x v="1"/>
    <x v="4"/>
    <x v="9"/>
    <s v="BESCOM"/>
    <n v="2696.4"/>
    <s v="UPI"/>
    <s v="Completed"/>
  </r>
  <r>
    <x v="1"/>
    <x v="6"/>
    <d v="2026-12-28T00:00:00"/>
    <x v="1"/>
    <x v="4"/>
    <x v="10"/>
    <s v="Airtel"/>
    <n v="1120.5"/>
    <s v="Bank Transfer"/>
    <s v="Completed"/>
  </r>
  <r>
    <x v="1"/>
    <x v="6"/>
    <d v="2026-12-11T00:00:00"/>
    <x v="1"/>
    <x v="4"/>
    <x v="11"/>
    <s v="Airtel"/>
    <n v="783.9"/>
    <s v="UPI"/>
    <s v="Completed"/>
  </r>
  <r>
    <x v="1"/>
    <x v="6"/>
    <d v="2026-12-06T00:00:00"/>
    <x v="1"/>
    <x v="4"/>
    <x v="12"/>
    <s v="Indane"/>
    <n v="1102.5"/>
    <s v="UPI"/>
    <s v="Completed"/>
  </r>
  <r>
    <x v="1"/>
    <x v="6"/>
    <d v="2026-12-09T00:00:00"/>
    <x v="1"/>
    <x v="5"/>
    <x v="13"/>
    <s v="AJIO"/>
    <n v="2266.1999999999998"/>
    <s v="Bank Transfer"/>
    <s v="Completed"/>
  </r>
  <r>
    <x v="1"/>
    <x v="6"/>
    <d v="2026-12-26T00:00:00"/>
    <x v="1"/>
    <x v="5"/>
    <x v="14"/>
    <s v="Amazon"/>
    <n v="1784.7"/>
    <s v="Debit Card"/>
    <s v="Completed"/>
  </r>
  <r>
    <x v="1"/>
    <x v="6"/>
    <d v="2026-12-15T00:00:00"/>
    <x v="1"/>
    <x v="6"/>
    <x v="15"/>
    <s v="Apollo Pharmacy"/>
    <n v="1043.0999999999999"/>
    <s v="Bank Transfer"/>
    <s v="Completed"/>
  </r>
  <r>
    <x v="1"/>
    <x v="6"/>
    <d v="2026-12-24T00:00:00"/>
    <x v="1"/>
    <x v="6"/>
    <x v="16"/>
    <s v="Amazon Prime"/>
    <n v="829.8"/>
    <s v="Debit Card"/>
    <s v="Completed"/>
  </r>
  <r>
    <x v="1"/>
    <x v="6"/>
    <d v="2026-12-14T00:00:00"/>
    <x v="1"/>
    <x v="6"/>
    <x v="17"/>
    <s v="BookMyShow"/>
    <n v="771.3"/>
    <s v="UPI"/>
    <s v="Completed"/>
  </r>
  <r>
    <x v="1"/>
    <x v="6"/>
    <d v="2026-12-22T00:00:00"/>
    <x v="1"/>
    <x v="6"/>
    <x v="18"/>
    <s v="Udemy"/>
    <n v="798.3"/>
    <s v="UPI"/>
    <s v="Completed"/>
  </r>
  <r>
    <x v="1"/>
    <x v="6"/>
    <d v="2026-12-26T00:00:00"/>
    <x v="1"/>
    <x v="7"/>
    <x v="19"/>
    <s v="Insurance Provider"/>
    <n v="2802.6"/>
    <s v="UPI"/>
    <s v="Completed"/>
  </r>
  <r>
    <x v="1"/>
    <x v="6"/>
    <d v="2026-12-07T00:00:00"/>
    <x v="1"/>
    <x v="7"/>
    <x v="20"/>
    <s v="Insurance Provider"/>
    <n v="3363.3"/>
    <s v="UPI"/>
    <s v="Completed"/>
  </r>
  <r>
    <x v="1"/>
    <x v="6"/>
    <d v="2026-12-19T00:00:00"/>
    <x v="1"/>
    <x v="8"/>
    <x v="21"/>
    <s v="Bank EMI"/>
    <n v="9528.2999999999993"/>
    <s v="UPI"/>
    <s v="Completed"/>
  </r>
  <r>
    <x v="1"/>
    <x v="6"/>
    <d v="2026-12-17T00:00:00"/>
    <x v="2"/>
    <x v="9"/>
    <x v="22"/>
    <s v="AMC SIP"/>
    <n v="9680"/>
    <s v="Auto Debit"/>
    <s v="Completed"/>
  </r>
  <r>
    <x v="1"/>
    <x v="6"/>
    <d v="2026-12-17T00:00:00"/>
    <x v="2"/>
    <x v="9"/>
    <x v="23"/>
    <s v="AMC SIP"/>
    <n v="6050"/>
    <s v="Auto Debit"/>
    <s v="Completed"/>
  </r>
  <r>
    <x v="1"/>
    <x v="6"/>
    <d v="2026-12-27T00:00:00"/>
    <x v="2"/>
    <x v="9"/>
    <x v="24"/>
    <s v="PPF Account"/>
    <n v="3630"/>
    <s v="Auto Debit"/>
    <s v="Completed"/>
  </r>
  <r>
    <x v="1"/>
    <x v="6"/>
    <d v="2026-12-22T00:00:00"/>
    <x v="2"/>
    <x v="9"/>
    <x v="25"/>
    <s v="Gold Investment"/>
    <n v="2017"/>
    <s v="Auto Debit"/>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7FA3D-0DDF-49CB-8C09-658A09301DD7}" name="PivotTable7"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ype">
  <location ref="R11:S17" firstHeaderRow="1" firstDataRow="1" firstDataCol="1" rowPageCount="1" colPageCount="1"/>
  <pivotFields count="10">
    <pivotField showAll="0">
      <items count="3">
        <item x="0"/>
        <item x="1"/>
        <item t="default"/>
      </items>
    </pivotField>
    <pivotField showAll="0">
      <items count="13">
        <item x="7"/>
        <item x="8"/>
        <item x="9"/>
        <item x="10"/>
        <item x="11"/>
        <item x="0"/>
        <item x="1"/>
        <item x="2"/>
        <item x="3"/>
        <item x="4"/>
        <item x="5"/>
        <item x="6"/>
        <item t="default"/>
      </items>
    </pivotField>
    <pivotField numFmtId="15" showAll="0"/>
    <pivotField axis="axisPage" showAll="0">
      <items count="4">
        <item x="1"/>
        <item x="0"/>
        <item x="2"/>
        <item t="default"/>
      </items>
    </pivotField>
    <pivotField showAll="0" sortType="descending">
      <items count="11">
        <item x="8"/>
        <item x="2"/>
        <item x="1"/>
        <item x="7"/>
        <item x="9"/>
        <item x="6"/>
        <item x="0"/>
        <item x="5"/>
        <item x="3"/>
        <item x="4"/>
        <item t="default"/>
      </items>
      <autoSortScope>
        <pivotArea dataOnly="0" outline="0" fieldPosition="0">
          <references count="1">
            <reference field="4294967294" count="1" selected="0">
              <x v="0"/>
            </reference>
          </references>
        </pivotArea>
      </autoSortScope>
    </pivotField>
    <pivotField axis="axisRow" showAll="0" sortType="ascending">
      <items count="28">
        <item x="7"/>
        <item x="13"/>
        <item x="18"/>
        <item x="9"/>
        <item x="5"/>
        <item x="6"/>
        <item x="12"/>
        <item x="25"/>
        <item x="3"/>
        <item x="19"/>
        <item x="14"/>
        <item x="23"/>
        <item x="10"/>
        <item x="20"/>
        <item x="2"/>
        <item x="8"/>
        <item x="11"/>
        <item x="17"/>
        <item x="22"/>
        <item x="26"/>
        <item x="16"/>
        <item x="21"/>
        <item x="15"/>
        <item x="24"/>
        <item x="1"/>
        <item x="4"/>
        <item x="0"/>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pivotField showAll="0"/>
  </pivotFields>
  <rowFields count="1">
    <field x="5"/>
  </rowFields>
  <rowItems count="6">
    <i>
      <x v="19"/>
    </i>
    <i>
      <x v="7"/>
    </i>
    <i>
      <x v="23"/>
    </i>
    <i>
      <x v="11"/>
    </i>
    <i>
      <x v="18"/>
    </i>
    <i t="grand">
      <x/>
    </i>
  </rowItems>
  <colItems count="1">
    <i/>
  </colItems>
  <pageFields count="1">
    <pageField fld="3" item="2" hier="-1"/>
  </pageFields>
  <dataFields count="1">
    <dataField name="Investment %" fld="7" showDataAs="percentOfTotal" baseField="5" baseItem="7" numFmtId="10"/>
  </dataFields>
  <formats count="23">
    <format dxfId="36">
      <pivotArea grandRow="1" outline="0" collapsedLevelsAreSubtotals="1" fieldPosition="0"/>
    </format>
    <format dxfId="37">
      <pivotArea type="all" dataOnly="0" outline="0" fieldPosition="0"/>
    </format>
    <format dxfId="38">
      <pivotArea outline="0" collapsedLevelsAreSubtotals="1" fieldPosition="0"/>
    </format>
    <format dxfId="39">
      <pivotArea field="4" type="button" dataOnly="0" labelOnly="1" outline="0"/>
    </format>
    <format dxfId="40">
      <pivotArea dataOnly="0" labelOnly="1" grandRow="1" outline="0" fieldPosition="0"/>
    </format>
    <format dxfId="41">
      <pivotArea dataOnly="0" labelOnly="1" outline="0" axis="axisValues" fieldPosition="0"/>
    </format>
    <format dxfId="42">
      <pivotArea field="4" type="button" dataOnly="0" labelOnly="1" outline="0"/>
    </format>
    <format dxfId="43">
      <pivotArea dataOnly="0" labelOnly="1" outline="0" axis="axisValues" fieldPosition="0"/>
    </format>
    <format dxfId="44">
      <pivotArea type="all" dataOnly="0" outline="0" fieldPosition="0"/>
    </format>
    <format dxfId="45">
      <pivotArea outline="0" collapsedLevelsAreSubtotals="1" fieldPosition="0"/>
    </format>
    <format dxfId="46">
      <pivotArea field="4" type="button" dataOnly="0" labelOnly="1" outline="0"/>
    </format>
    <format dxfId="47">
      <pivotArea dataOnly="0" labelOnly="1" grandRow="1" outline="0" fieldPosition="0"/>
    </format>
    <format dxfId="48">
      <pivotArea dataOnly="0" labelOnly="1" outline="0" axis="axisValues" fieldPosition="0"/>
    </format>
    <format dxfId="49">
      <pivotArea grandRow="1" outline="0" collapsedLevelsAreSubtotals="1" fieldPosition="0"/>
    </format>
    <format dxfId="50">
      <pivotArea dataOnly="0" labelOnly="1" grandRow="1" outline="0" fieldPosition="0"/>
    </format>
    <format dxfId="51">
      <pivotArea field="4" type="button" dataOnly="0" labelOnly="1" outline="0"/>
    </format>
    <format dxfId="52">
      <pivotArea dataOnly="0" labelOnly="1" outline="0" axis="axisValues" fieldPosition="0"/>
    </format>
    <format dxfId="53">
      <pivotArea field="4" type="button" dataOnly="0" labelOnly="1" outline="0"/>
    </format>
    <format dxfId="54">
      <pivotArea dataOnly="0" labelOnly="1" outline="0" axis="axisValues" fieldPosition="0"/>
    </format>
    <format dxfId="55">
      <pivotArea grandRow="1" outline="0" collapsedLevelsAreSubtotals="1" fieldPosition="0"/>
    </format>
    <format dxfId="56">
      <pivotArea dataOnly="0" labelOnly="1" grandRow="1" outline="0" fieldPosition="0"/>
    </format>
    <format dxfId="35">
      <pivotArea outline="0" fieldPosition="0">
        <references count="1">
          <reference field="4294967294" count="1">
            <x v="0"/>
          </reference>
        </references>
      </pivotArea>
    </format>
    <format dxfId="34">
      <pivotArea field="5" type="button" dataOnly="0" labelOnly="1" outline="0" axis="axisRow" fieldPosition="0"/>
    </format>
  </formats>
  <conditionalFormats count="1">
    <conditionalFormat priority="1">
      <pivotAreas count="1">
        <pivotArea type="data" collapsedLevelsAreSubtotals="1" fieldPosition="0">
          <references count="2">
            <reference field="4294967294" count="1" selected="0">
              <x v="0"/>
            </reference>
            <reference field="5" count="5">
              <x v="7"/>
              <x v="11"/>
              <x v="18"/>
              <x v="19"/>
              <x v="23"/>
            </reference>
          </references>
        </pivotArea>
      </pivotAreas>
    </conditionalFormat>
  </conditionalFormats>
  <chartFormats count="4">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C394A6-DEB3-4D99-A69F-E7C0BB4DB51C}" name="PivotTable18"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O11:P17" firstHeaderRow="1" firstDataRow="1" firstDataCol="1" rowPageCount="1" colPageCount="1"/>
  <pivotFields count="10">
    <pivotField showAll="0">
      <items count="3">
        <item x="0"/>
        <item x="1"/>
        <item t="default"/>
      </items>
    </pivotField>
    <pivotField showAll="0">
      <items count="13">
        <item x="7"/>
        <item x="8"/>
        <item x="9"/>
        <item x="10"/>
        <item x="11"/>
        <item x="0"/>
        <item x="1"/>
        <item x="2"/>
        <item x="3"/>
        <item x="4"/>
        <item x="5"/>
        <item x="6"/>
        <item t="default"/>
      </items>
    </pivotField>
    <pivotField numFmtId="15" showAll="0"/>
    <pivotField axis="axisPage" showAll="0">
      <items count="4">
        <item x="1"/>
        <item x="0"/>
        <item x="2"/>
        <item t="default"/>
      </items>
    </pivotField>
    <pivotField axis="axisRow" showAll="0" measureFilter="1" sortType="descending">
      <items count="11">
        <item x="8"/>
        <item x="2"/>
        <item x="1"/>
        <item x="7"/>
        <item x="9"/>
        <item x="6"/>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showAll="0"/>
  </pivotFields>
  <rowFields count="1">
    <field x="4"/>
  </rowFields>
  <rowItems count="6">
    <i>
      <x v="2"/>
    </i>
    <i>
      <x v="1"/>
    </i>
    <i>
      <x/>
    </i>
    <i>
      <x v="8"/>
    </i>
    <i>
      <x v="3"/>
    </i>
    <i t="grand">
      <x/>
    </i>
  </rowItems>
  <colItems count="1">
    <i/>
  </colItems>
  <pageFields count="1">
    <pageField fld="3" item="0" hier="-1"/>
  </pageFields>
  <dataFields count="1">
    <dataField name="Expenses" fld="7" baseField="4" baseItem="2" numFmtId="5"/>
  </dataFields>
  <formats count="27">
    <format dxfId="122">
      <pivotArea collapsedLevelsAreSubtotals="1" fieldPosition="0">
        <references count="1">
          <reference field="4" count="6">
            <x v="0"/>
            <x v="3"/>
            <x v="5"/>
            <x v="7"/>
            <x v="8"/>
            <x v="9"/>
          </reference>
        </references>
      </pivotArea>
    </format>
    <format dxfId="121">
      <pivotArea grandRow="1" outline="0" collapsedLevelsAreSubtotals="1" fieldPosition="0"/>
    </format>
    <format dxfId="120">
      <pivotArea outline="0" fieldPosition="0">
        <references count="1">
          <reference field="4294967294" count="1">
            <x v="0"/>
          </reference>
        </references>
      </pivotArea>
    </format>
    <format dxfId="104">
      <pivotArea type="all" dataOnly="0" outline="0" fieldPosition="0"/>
    </format>
    <format dxfId="103">
      <pivotArea outline="0" collapsedLevelsAreSubtotals="1" fieldPosition="0"/>
    </format>
    <format dxfId="102">
      <pivotArea field="4" type="button" dataOnly="0" labelOnly="1" outline="0" axis="axisRow" fieldPosition="0"/>
    </format>
    <format dxfId="101">
      <pivotArea dataOnly="0" labelOnly="1" fieldPosition="0">
        <references count="1">
          <reference field="4" count="5">
            <x v="0"/>
            <x v="1"/>
            <x v="2"/>
            <x v="3"/>
            <x v="8"/>
          </reference>
        </references>
      </pivotArea>
    </format>
    <format dxfId="100">
      <pivotArea dataOnly="0" labelOnly="1" grandRow="1" outline="0" fieldPosition="0"/>
    </format>
    <format dxfId="99">
      <pivotArea dataOnly="0" labelOnly="1" outline="0" axis="axisValues" fieldPosition="0"/>
    </format>
    <format dxfId="90">
      <pivotArea field="4" type="button" dataOnly="0" labelOnly="1" outline="0" axis="axisRow" fieldPosition="0"/>
    </format>
    <format dxfId="89">
      <pivotArea dataOnly="0" labelOnly="1" outline="0" axis="axisValues" fieldPosition="0"/>
    </format>
    <format dxfId="82">
      <pivotArea type="all" dataOnly="0" outline="0" fieldPosition="0"/>
    </format>
    <format dxfId="81">
      <pivotArea outline="0" collapsedLevelsAreSubtotals="1" fieldPosition="0"/>
    </format>
    <format dxfId="80">
      <pivotArea field="4" type="button" dataOnly="0" labelOnly="1" outline="0" axis="axisRow" fieldPosition="0"/>
    </format>
    <format dxfId="79">
      <pivotArea dataOnly="0" labelOnly="1" fieldPosition="0">
        <references count="1">
          <reference field="4" count="5">
            <x v="0"/>
            <x v="1"/>
            <x v="2"/>
            <x v="3"/>
            <x v="8"/>
          </reference>
        </references>
      </pivotArea>
    </format>
    <format dxfId="78">
      <pivotArea dataOnly="0" labelOnly="1" grandRow="1" outline="0" fieldPosition="0"/>
    </format>
    <format dxfId="77">
      <pivotArea dataOnly="0" labelOnly="1" outline="0" axis="axisValues" fieldPosition="0"/>
    </format>
    <format dxfId="74">
      <pivotArea grandRow="1" outline="0" collapsedLevelsAreSubtotals="1" fieldPosition="0"/>
    </format>
    <format dxfId="73">
      <pivotArea dataOnly="0" labelOnly="1" grandRow="1" outline="0" fieldPosition="0"/>
    </format>
    <format dxfId="72">
      <pivotArea field="4" type="button" dataOnly="0" labelOnly="1" outline="0" axis="axisRow" fieldPosition="0"/>
    </format>
    <format dxfId="71">
      <pivotArea dataOnly="0" labelOnly="1" outline="0" axis="axisValues" fieldPosition="0"/>
    </format>
    <format dxfId="67">
      <pivotArea collapsedLevelsAreSubtotals="1" fieldPosition="0">
        <references count="1">
          <reference field="4" count="5">
            <x v="0"/>
            <x v="1"/>
            <x v="2"/>
            <x v="3"/>
            <x v="8"/>
          </reference>
        </references>
      </pivotArea>
    </format>
    <format dxfId="64">
      <pivotArea field="4" type="button" dataOnly="0" labelOnly="1" outline="0" axis="axisRow" fieldPosition="0"/>
    </format>
    <format dxfId="63">
      <pivotArea dataOnly="0" labelOnly="1" outline="0" axis="axisValues" fieldPosition="0"/>
    </format>
    <format dxfId="61">
      <pivotArea dataOnly="0" labelOnly="1" fieldPosition="0">
        <references count="1">
          <reference field="4" count="5">
            <x v="0"/>
            <x v="1"/>
            <x v="2"/>
            <x v="3"/>
            <x v="8"/>
          </reference>
        </references>
      </pivotArea>
    </format>
    <format dxfId="58">
      <pivotArea grandRow="1" outline="0" collapsedLevelsAreSubtotals="1" fieldPosition="0"/>
    </format>
    <format dxfId="57">
      <pivotArea dataOnly="0" labelOnly="1" grandRow="1" outline="0" fieldPosition="0"/>
    </format>
  </formats>
  <conditionalFormats count="1">
    <conditionalFormat priority="5">
      <pivotAreas count="1">
        <pivotArea type="data" collapsedLevelsAreSubtotals="1" fieldPosition="0">
          <references count="2">
            <reference field="4294967294" count="1" selected="0">
              <x v="0"/>
            </reference>
            <reference field="4" count="5">
              <x v="0"/>
              <x v="1"/>
              <x v="2"/>
              <x v="3"/>
              <x v="8"/>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8273D1-C32F-499C-88C8-D3A192AB9AAF}" name="PivotTable17"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L11:M20" firstHeaderRow="1" firstDataRow="1" firstDataCol="1" rowPageCount="1" colPageCount="1"/>
  <pivotFields count="10">
    <pivotField showAll="0">
      <items count="3">
        <item x="0"/>
        <item x="1"/>
        <item t="default"/>
      </items>
    </pivotField>
    <pivotField showAll="0">
      <items count="13">
        <item x="7"/>
        <item x="8"/>
        <item x="9"/>
        <item x="10"/>
        <item x="11"/>
        <item x="0"/>
        <item x="1"/>
        <item x="2"/>
        <item x="3"/>
        <item x="4"/>
        <item x="5"/>
        <item x="6"/>
        <item t="default"/>
      </items>
    </pivotField>
    <pivotField numFmtId="15" showAll="0"/>
    <pivotField axis="axisPage" showAll="0">
      <items count="4">
        <item x="1"/>
        <item x="0"/>
        <item x="2"/>
        <item t="default"/>
      </items>
    </pivotField>
    <pivotField axis="axisRow" showAll="0" sortType="descending">
      <items count="11">
        <item x="8"/>
        <item x="2"/>
        <item x="1"/>
        <item x="7"/>
        <item x="9"/>
        <item x="6"/>
        <item x="0"/>
        <item x="5"/>
        <item x="3"/>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showAll="0"/>
  </pivotFields>
  <rowFields count="1">
    <field x="4"/>
  </rowFields>
  <rowItems count="9">
    <i>
      <x v="2"/>
    </i>
    <i>
      <x v="1"/>
    </i>
    <i>
      <x/>
    </i>
    <i>
      <x v="8"/>
    </i>
    <i>
      <x v="3"/>
    </i>
    <i>
      <x v="9"/>
    </i>
    <i>
      <x v="7"/>
    </i>
    <i>
      <x v="5"/>
    </i>
    <i t="grand">
      <x/>
    </i>
  </rowItems>
  <colItems count="1">
    <i/>
  </colItems>
  <pageFields count="1">
    <pageField fld="3" item="0" hier="-1"/>
  </pageFields>
  <dataFields count="1">
    <dataField name="Expenses %" fld="7" showDataAs="percentOfTotal" baseField="4" baseItem="0" numFmtId="10"/>
  </dataFields>
  <formats count="26">
    <format dxfId="124">
      <pivotArea collapsedLevelsAreSubtotals="1" fieldPosition="0">
        <references count="1">
          <reference field="4" count="6">
            <x v="0"/>
            <x v="3"/>
            <x v="5"/>
            <x v="7"/>
            <x v="8"/>
            <x v="9"/>
          </reference>
        </references>
      </pivotArea>
    </format>
    <format dxfId="123">
      <pivotArea grandRow="1" outline="0" collapsedLevelsAreSubtotals="1" fieldPosition="0"/>
    </format>
    <format dxfId="98">
      <pivotArea type="all" dataOnly="0" outline="0" fieldPosition="0"/>
    </format>
    <format dxfId="97">
      <pivotArea outline="0" collapsedLevelsAreSubtotals="1" fieldPosition="0"/>
    </format>
    <format dxfId="96">
      <pivotArea dataOnly="0" labelOnly="1" fieldPosition="0">
        <references count="1">
          <reference field="4" count="8">
            <x v="0"/>
            <x v="1"/>
            <x v="2"/>
            <x v="3"/>
            <x v="5"/>
            <x v="7"/>
            <x v="8"/>
            <x v="9"/>
          </reference>
        </references>
      </pivotArea>
    </format>
    <format dxfId="95">
      <pivotArea dataOnly="0" labelOnly="1" grandRow="1" outline="0" fieldPosition="0"/>
    </format>
    <format dxfId="94">
      <pivotArea dataOnly="0" labelOnly="1" outline="0" axis="axisValues" fieldPosition="0"/>
    </format>
    <format dxfId="93">
      <pivotArea field="4" type="button" dataOnly="0" labelOnly="1" outline="0" axis="axisRow" fieldPosition="0"/>
    </format>
    <format dxfId="92">
      <pivotArea field="4" type="button" dataOnly="0" labelOnly="1" outline="0" axis="axisRow" fieldPosition="0"/>
    </format>
    <format dxfId="91">
      <pivotArea dataOnly="0" labelOnly="1" outline="0" axis="axisValues" fieldPosition="0"/>
    </format>
    <format dxfId="88">
      <pivotArea type="all" dataOnly="0" outline="0" fieldPosition="0"/>
    </format>
    <format dxfId="87">
      <pivotArea outline="0" collapsedLevelsAreSubtotals="1" fieldPosition="0"/>
    </format>
    <format dxfId="86">
      <pivotArea field="4" type="button" dataOnly="0" labelOnly="1" outline="0" axis="axisRow" fieldPosition="0"/>
    </format>
    <format dxfId="85">
      <pivotArea dataOnly="0" labelOnly="1" fieldPosition="0">
        <references count="1">
          <reference field="4" count="8">
            <x v="0"/>
            <x v="1"/>
            <x v="2"/>
            <x v="3"/>
            <x v="5"/>
            <x v="7"/>
            <x v="8"/>
            <x v="9"/>
          </reference>
        </references>
      </pivotArea>
    </format>
    <format dxfId="84">
      <pivotArea dataOnly="0" labelOnly="1" grandRow="1" outline="0" fieldPosition="0"/>
    </format>
    <format dxfId="83">
      <pivotArea dataOnly="0" labelOnly="1" outline="0" axis="axisValues" fieldPosition="0"/>
    </format>
    <format dxfId="76">
      <pivotArea grandRow="1" outline="0" collapsedLevelsAreSubtotals="1" fieldPosition="0"/>
    </format>
    <format dxfId="75">
      <pivotArea dataOnly="0" labelOnly="1" grandRow="1" outline="0" fieldPosition="0"/>
    </format>
    <format dxfId="70">
      <pivotArea field="4" type="button" dataOnly="0" labelOnly="1" outline="0" axis="axisRow" fieldPosition="0"/>
    </format>
    <format dxfId="69">
      <pivotArea dataOnly="0" labelOnly="1" outline="0" axis="axisValues" fieldPosition="0"/>
    </format>
    <format dxfId="68">
      <pivotArea collapsedLevelsAreSubtotals="1" fieldPosition="0">
        <references count="1">
          <reference field="4" count="8">
            <x v="0"/>
            <x v="1"/>
            <x v="2"/>
            <x v="3"/>
            <x v="5"/>
            <x v="7"/>
            <x v="8"/>
            <x v="9"/>
          </reference>
        </references>
      </pivotArea>
    </format>
    <format dxfId="66">
      <pivotArea field="4" type="button" dataOnly="0" labelOnly="1" outline="0" axis="axisRow" fieldPosition="0"/>
    </format>
    <format dxfId="65">
      <pivotArea dataOnly="0" labelOnly="1" outline="0" axis="axisValues" fieldPosition="0"/>
    </format>
    <format dxfId="62">
      <pivotArea dataOnly="0" labelOnly="1" fieldPosition="0">
        <references count="1">
          <reference field="4" count="8">
            <x v="0"/>
            <x v="1"/>
            <x v="2"/>
            <x v="3"/>
            <x v="5"/>
            <x v="7"/>
            <x v="8"/>
            <x v="9"/>
          </reference>
        </references>
      </pivotArea>
    </format>
    <format dxfId="60">
      <pivotArea grandRow="1" outline="0" collapsedLevelsAreSubtotals="1" fieldPosition="0"/>
    </format>
    <format dxfId="59">
      <pivotArea dataOnly="0" labelOnly="1" grandRow="1" outline="0" fieldPosition="0"/>
    </format>
  </formats>
  <conditionalFormats count="1">
    <conditionalFormat priority="6">
      <pivotAreas count="1">
        <pivotArea type="data" collapsedLevelsAreSubtotals="1" fieldPosition="0">
          <references count="2">
            <reference field="4294967294" count="1" selected="0">
              <x v="0"/>
            </reference>
            <reference field="4" count="8">
              <x v="0"/>
              <x v="1"/>
              <x v="2"/>
              <x v="3"/>
              <x v="5"/>
              <x v="7"/>
              <x v="8"/>
              <x v="9"/>
            </reference>
          </references>
        </pivotArea>
      </pivotAreas>
    </conditionalFormat>
  </conditionalFormats>
  <chartFormats count="10">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8"/>
          </reference>
        </references>
      </pivotArea>
    </chartFormat>
    <chartFormat chart="2" format="15">
      <pivotArea type="data" outline="0" fieldPosition="0">
        <references count="2">
          <reference field="4294967294" count="1" selected="0">
            <x v="0"/>
          </reference>
          <reference field="4" count="1" selected="0">
            <x v="3"/>
          </reference>
        </references>
      </pivotArea>
    </chartFormat>
    <chartFormat chart="2" format="16">
      <pivotArea type="data" outline="0" fieldPosition="0">
        <references count="2">
          <reference field="4294967294" count="1" selected="0">
            <x v="0"/>
          </reference>
          <reference field="4" count="1" selected="0">
            <x v="9"/>
          </reference>
        </references>
      </pivotArea>
    </chartFormat>
    <chartFormat chart="2" format="17">
      <pivotArea type="data" outline="0" fieldPosition="0">
        <references count="2">
          <reference field="4294967294" count="1" selected="0">
            <x v="0"/>
          </reference>
          <reference field="4" count="1" selected="0">
            <x v="7"/>
          </reference>
        </references>
      </pivotArea>
    </chartFormat>
    <chartFormat chart="2" format="18">
      <pivotArea type="data" outline="0" fieldPosition="0">
        <references count="2">
          <reference field="4294967294" count="1" selected="0">
            <x v="0"/>
          </reference>
          <reference field="4" count="1" selected="0">
            <x v="5"/>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F985C-0A81-4986-B2B3-BC1AADFC07E4}" name="PivotTable1" cacheId="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colHeaderCaption="">
  <location ref="F11:J25" firstHeaderRow="1" firstDataRow="2" firstDataCol="1"/>
  <pivotFields count="10">
    <pivotField showAll="0">
      <items count="3">
        <item x="0"/>
        <item x="1"/>
        <item t="default"/>
      </items>
    </pivotField>
    <pivotField axis="axisRow" showAll="0">
      <items count="13">
        <item x="7"/>
        <item x="8"/>
        <item x="9"/>
        <item x="10"/>
        <item x="11"/>
        <item x="0"/>
        <item x="1"/>
        <item x="2"/>
        <item x="3"/>
        <item x="4"/>
        <item x="5"/>
        <item x="6"/>
        <item t="default"/>
      </items>
    </pivotField>
    <pivotField numFmtId="15" showAll="0"/>
    <pivotField axis="axisCol" showAll="0">
      <items count="4">
        <item x="1"/>
        <item x="0"/>
        <item x="2"/>
        <item t="default"/>
      </items>
    </pivotField>
    <pivotField showAll="0"/>
    <pivotField showAll="0"/>
    <pivotField showAll="0"/>
    <pivotField dataField="1" numFmtId="165" showAll="0"/>
    <pivotField showAll="0"/>
    <pivotField showAll="0"/>
  </pivotFields>
  <rowFields count="1">
    <field x="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Sum of Amount" fld="7" baseField="1" baseItem="0" numFmtId="5"/>
  </dataFields>
  <formats count="30">
    <format dxfId="4">
      <pivotArea type="all" dataOnly="0" outline="0" fieldPosition="0"/>
    </format>
    <format dxfId="5">
      <pivotArea outline="0" collapsedLevelsAreSubtotals="1" fieldPosition="0"/>
    </format>
    <format dxfId="6">
      <pivotArea field="3" type="button" dataOnly="0" labelOnly="1" outline="0" axis="axisCol" fieldPosition="0"/>
    </format>
    <format dxfId="7">
      <pivotArea type="topRight" dataOnly="0" labelOnly="1" outline="0"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fieldPosition="0">
        <references count="1">
          <reference field="3" count="0"/>
        </references>
      </pivotArea>
    </format>
    <format dxfId="12">
      <pivotArea dataOnly="0" labelOnly="1" grandCol="1" outline="0" fieldPosition="0"/>
    </format>
    <format dxfId="13">
      <pivotArea type="all" dataOnly="0" outline="0" fieldPosition="0"/>
    </format>
    <format dxfId="14">
      <pivotArea outline="0" collapsedLevelsAreSubtotals="1" fieldPosition="0"/>
    </format>
    <format dxfId="15">
      <pivotArea field="1" type="button" dataOnly="0" labelOnly="1" outline="0" axis="axisRow" fieldPosition="0"/>
    </format>
    <format dxfId="16">
      <pivotArea dataOnly="0" labelOnly="1" fieldPosition="0">
        <references count="1">
          <reference field="1" count="0"/>
        </references>
      </pivotArea>
    </format>
    <format dxfId="17">
      <pivotArea dataOnly="0" labelOnly="1" grandRow="1" outline="0" fieldPosition="0"/>
    </format>
    <format dxfId="18">
      <pivotArea dataOnly="0" labelOnly="1" fieldPosition="0">
        <references count="1">
          <reference field="3" count="0"/>
        </references>
      </pivotArea>
    </format>
    <format dxfId="19">
      <pivotArea dataOnly="0" labelOnly="1" grandCol="1" outline="0" fieldPosition="0"/>
    </format>
    <format dxfId="20">
      <pivotArea field="1" type="button" dataOnly="0" labelOnly="1" outline="0" axis="axisRow" fieldPosition="0"/>
    </format>
    <format dxfId="21">
      <pivotArea dataOnly="0" labelOnly="1" fieldPosition="0">
        <references count="1">
          <reference field="3" count="0"/>
        </references>
      </pivotArea>
    </format>
    <format dxfId="22">
      <pivotArea dataOnly="0" labelOnly="1" grandCol="1" outline="0" fieldPosition="0"/>
    </format>
    <format dxfId="23">
      <pivotArea grandRow="1" outline="0" collapsedLevelsAreSubtotals="1" fieldPosition="0"/>
    </format>
    <format dxfId="24">
      <pivotArea dataOnly="0" labelOnly="1" grandRow="1" outline="0" fieldPosition="0"/>
    </format>
    <format dxfId="25">
      <pivotArea type="origin" dataOnly="0" labelOnly="1" outline="0" fieldPosition="0"/>
    </format>
    <format dxfId="26">
      <pivotArea collapsedLevelsAreSubtotals="1" fieldPosition="0">
        <references count="1">
          <reference field="1" count="0"/>
        </references>
      </pivotArea>
    </format>
    <format dxfId="27">
      <pivotArea field="1" type="button" dataOnly="0" labelOnly="1" outline="0" axis="axisRow" fieldPosition="0"/>
    </format>
    <format dxfId="28">
      <pivotArea dataOnly="0" labelOnly="1" fieldPosition="0">
        <references count="1">
          <reference field="3" count="0"/>
        </references>
      </pivotArea>
    </format>
    <format dxfId="29">
      <pivotArea dataOnly="0" labelOnly="1" grandCol="1" outline="0" fieldPosition="0"/>
    </format>
    <format dxfId="30">
      <pivotArea type="origin" dataOnly="0" labelOnly="1" outline="0" fieldPosition="0"/>
    </format>
    <format dxfId="31">
      <pivotArea dataOnly="0" labelOnly="1" fieldPosition="0">
        <references count="1">
          <reference field="1" count="0"/>
        </references>
      </pivotArea>
    </format>
    <format dxfId="32">
      <pivotArea grandRow="1" outline="0" collapsedLevelsAreSubtotals="1" fieldPosition="0"/>
    </format>
    <format dxfId="33">
      <pivotArea dataOnly="0" labelOnly="1" grandRow="1" outline="0"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A5315E-6D64-4EA9-B1FF-CFACC78A43C4}" sourceName="Year">
  <pivotTables>
    <pivotTable tabId="3" name="PivotTable1"/>
    <pivotTable tabId="3" name="PivotTable17"/>
    <pivotTable tabId="3" name="PivotTable18"/>
    <pivotTable tabId="3" name="PivotTable7"/>
  </pivotTables>
  <data>
    <tabular pivotCacheId="5972160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899E51-764A-4FFA-9B84-71BD0042AE84}" sourceName="Month">
  <pivotTables>
    <pivotTable tabId="3" name="PivotTable1"/>
    <pivotTable tabId="3" name="PivotTable17"/>
    <pivotTable tabId="3" name="PivotTable18"/>
    <pivotTable tabId="3" name="PivotTable7"/>
  </pivotTables>
  <data>
    <tabular pivotCacheId="597216071">
      <items count="12">
        <i x="7" s="1"/>
        <i x="8" s="1"/>
        <i x="9" s="1"/>
        <i x="10" s="1"/>
        <i x="11" s="1"/>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E655713-CCF4-41C3-BF92-C46DC522F245}" cache="Slicer_Year" caption="Year" style="SlicerStyleDark1" rowHeight="247650"/>
  <slicer name="Month" xr10:uid="{BA43D7AC-6C03-4BB6-BFF9-119BD50ABEE0}" cache="Slicer_Month" caption="Month"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8169B6-8C71-4A6D-8CDA-4DFD0D9579ED}" name="finance" displayName="finance" ref="A8:J632" totalsRowShown="0" headerRowDxfId="119" dataDxfId="117" headerRowBorderDxfId="118" tableBorderDxfId="116" totalsRowBorderDxfId="115">
  <autoFilter ref="A8:J632" xr:uid="{A88169B6-8C71-4A6D-8CDA-4DFD0D9579ED}"/>
  <tableColumns count="10">
    <tableColumn id="1" xr3:uid="{FA4AF520-CD23-4C33-AFB9-79AD9F3E25F1}" name="Year" dataDxfId="114"/>
    <tableColumn id="2" xr3:uid="{31945361-CFD2-427B-A4EB-642555B11FBA}" name="Month" dataDxfId="113"/>
    <tableColumn id="3" xr3:uid="{E22FB695-D8B6-4299-A53B-08ACEE592283}" name="Date" dataDxfId="112"/>
    <tableColumn id="4" xr3:uid="{0B9275ED-D63A-418C-8BB1-052F7B132809}" name="Type" dataDxfId="111"/>
    <tableColumn id="5" xr3:uid="{F702D950-76E4-4930-A52C-1F8275D490D5}" name="Category" dataDxfId="110"/>
    <tableColumn id="6" xr3:uid="{37A879F9-FAB5-454B-9E63-0B2A42068589}" name="Subcategory" dataDxfId="109"/>
    <tableColumn id="7" xr3:uid="{50500E2C-50FE-4002-A230-4EF2DF896B8A}" name="Description" dataDxfId="108"/>
    <tableColumn id="8" xr3:uid="{861B9C36-3AFB-476C-8E44-2C97E9F2198B}" name="Amount" dataDxfId="107" dataCellStyle="Comma"/>
    <tableColumn id="9" xr3:uid="{A831B0C9-E92F-497B-8A0B-121CF436D24D}" name="Payment Method" dataDxfId="106"/>
    <tableColumn id="10" xr3:uid="{D3C97FC1-4B78-46A0-988A-40CA22E3B2EE}" name="Status" dataDxfId="10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18C6-8150-46BA-9041-31F2DDF273A5}">
  <sheetPr codeName="Sheet1"/>
  <dimension ref="C2:D3"/>
  <sheetViews>
    <sheetView workbookViewId="0">
      <selection activeCell="D3" sqref="D3"/>
    </sheetView>
  </sheetViews>
  <sheetFormatPr defaultRowHeight="14.4" x14ac:dyDescent="0.3"/>
  <cols>
    <col min="4" max="4" width="55.6640625" bestFit="1" customWidth="1"/>
  </cols>
  <sheetData>
    <row r="2" spans="3:4" x14ac:dyDescent="0.3">
      <c r="C2" t="s">
        <v>103</v>
      </c>
      <c r="D2" t="s">
        <v>102</v>
      </c>
    </row>
    <row r="3" spans="3:4" x14ac:dyDescent="0.3">
      <c r="C3" s="1">
        <v>53428.500000000015</v>
      </c>
      <c r="D3" t="s">
        <v>101</v>
      </c>
    </row>
  </sheetData>
  <sheetProtection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D1EE-9B1E-4DEA-8ABB-259A9774FA92}">
  <sheetPr codeName="Sheet2"/>
  <dimension ref="A1:L632"/>
  <sheetViews>
    <sheetView workbookViewId="0"/>
  </sheetViews>
  <sheetFormatPr defaultRowHeight="14.4" x14ac:dyDescent="0.3"/>
  <cols>
    <col min="1" max="1" width="9.109375" bestFit="1" customWidth="1"/>
    <col min="2" max="2" width="11.21875" bestFit="1" customWidth="1"/>
    <col min="3" max="3" width="9.5546875" bestFit="1" customWidth="1"/>
    <col min="4" max="4" width="9.77734375" bestFit="1" customWidth="1"/>
    <col min="5" max="5" width="13" bestFit="1" customWidth="1"/>
    <col min="6" max="6" width="16" bestFit="1" customWidth="1"/>
    <col min="7" max="7" width="19.33203125" bestFit="1" customWidth="1"/>
    <col min="8" max="8" width="12.33203125" bestFit="1" customWidth="1"/>
    <col min="9" max="9" width="20.33203125" bestFit="1" customWidth="1"/>
    <col min="10" max="10" width="10.6640625" bestFit="1" customWidth="1"/>
  </cols>
  <sheetData>
    <row r="1" spans="1:12" x14ac:dyDescent="0.3">
      <c r="A1" s="35"/>
      <c r="B1" s="35"/>
      <c r="C1" s="35"/>
      <c r="D1" s="35"/>
      <c r="E1" s="35"/>
      <c r="F1" s="35"/>
      <c r="G1" s="35"/>
      <c r="H1" s="35"/>
      <c r="I1" s="35"/>
      <c r="J1" s="35"/>
      <c r="K1" s="35"/>
      <c r="L1" s="35"/>
    </row>
    <row r="2" spans="1:12" x14ac:dyDescent="0.3">
      <c r="A2" s="35"/>
      <c r="B2" s="35"/>
      <c r="C2" s="35"/>
      <c r="D2" s="35"/>
      <c r="E2" s="35"/>
      <c r="F2" s="35"/>
      <c r="G2" s="35"/>
      <c r="H2" s="35"/>
      <c r="I2" s="35"/>
      <c r="J2" s="35"/>
      <c r="K2" s="35"/>
      <c r="L2" s="35"/>
    </row>
    <row r="3" spans="1:12" x14ac:dyDescent="0.3">
      <c r="A3" s="35"/>
      <c r="B3" s="35"/>
      <c r="C3" s="35"/>
      <c r="D3" s="35"/>
      <c r="E3" s="35"/>
      <c r="F3" s="35"/>
      <c r="G3" s="35"/>
      <c r="H3" s="35"/>
      <c r="I3" s="35"/>
      <c r="J3" s="35"/>
      <c r="K3" s="35"/>
      <c r="L3" s="35"/>
    </row>
    <row r="4" spans="1:12" x14ac:dyDescent="0.3">
      <c r="A4" s="35"/>
      <c r="B4" s="35"/>
      <c r="C4" s="35"/>
      <c r="D4" s="35"/>
      <c r="E4" s="35"/>
      <c r="F4" s="35"/>
      <c r="G4" s="35"/>
      <c r="H4" s="35"/>
      <c r="I4" s="35"/>
      <c r="J4" s="35"/>
      <c r="K4" s="35"/>
      <c r="L4" s="35"/>
    </row>
    <row r="5" spans="1:12" x14ac:dyDescent="0.3">
      <c r="A5" s="35"/>
      <c r="B5" s="35"/>
      <c r="C5" s="35"/>
      <c r="D5" s="35"/>
      <c r="E5" s="35"/>
      <c r="F5" s="35"/>
      <c r="G5" s="35"/>
      <c r="H5" s="35"/>
      <c r="I5" s="35"/>
      <c r="J5" s="35"/>
      <c r="K5" s="35"/>
      <c r="L5" s="35"/>
    </row>
    <row r="6" spans="1:12" x14ac:dyDescent="0.3">
      <c r="A6" s="35"/>
      <c r="B6" s="35"/>
      <c r="C6" s="35"/>
      <c r="D6" s="35"/>
      <c r="E6" s="35"/>
      <c r="F6" s="35"/>
      <c r="G6" s="35"/>
      <c r="H6" s="35"/>
      <c r="I6" s="35"/>
      <c r="J6" s="35"/>
      <c r="K6" s="35"/>
      <c r="L6" s="35"/>
    </row>
    <row r="7" spans="1:12" x14ac:dyDescent="0.3">
      <c r="A7" s="35"/>
      <c r="B7" s="35"/>
      <c r="C7" s="35"/>
      <c r="D7" s="35"/>
      <c r="E7" s="35"/>
      <c r="F7" s="35"/>
      <c r="G7" s="35"/>
      <c r="H7" s="35"/>
      <c r="I7" s="35"/>
      <c r="J7" s="35"/>
      <c r="K7" s="35"/>
      <c r="L7" s="35"/>
    </row>
    <row r="8" spans="1:12" x14ac:dyDescent="0.3">
      <c r="A8" s="7" t="s">
        <v>0</v>
      </c>
      <c r="B8" s="8" t="s">
        <v>1</v>
      </c>
      <c r="C8" s="8" t="s">
        <v>2</v>
      </c>
      <c r="D8" s="8" t="s">
        <v>3</v>
      </c>
      <c r="E8" s="8" t="s">
        <v>4</v>
      </c>
      <c r="F8" s="8" t="s">
        <v>5</v>
      </c>
      <c r="G8" s="8" t="s">
        <v>6</v>
      </c>
      <c r="H8" s="8" t="s">
        <v>7</v>
      </c>
      <c r="I8" s="8" t="s">
        <v>8</v>
      </c>
      <c r="J8" s="9" t="s">
        <v>9</v>
      </c>
    </row>
    <row r="9" spans="1:12" x14ac:dyDescent="0.3">
      <c r="A9" s="5">
        <v>2025</v>
      </c>
      <c r="B9" s="2" t="s">
        <v>10</v>
      </c>
      <c r="C9" s="3">
        <v>45809</v>
      </c>
      <c r="D9" s="2" t="s">
        <v>11</v>
      </c>
      <c r="E9" s="2" t="s">
        <v>12</v>
      </c>
      <c r="F9" s="2" t="s">
        <v>12</v>
      </c>
      <c r="G9" s="2" t="s">
        <v>13</v>
      </c>
      <c r="H9" s="4">
        <v>29801</v>
      </c>
      <c r="I9" s="2" t="s">
        <v>14</v>
      </c>
      <c r="J9" s="6" t="s">
        <v>15</v>
      </c>
    </row>
    <row r="10" spans="1:12" x14ac:dyDescent="0.3">
      <c r="A10" s="5">
        <v>2025</v>
      </c>
      <c r="B10" s="2" t="s">
        <v>10</v>
      </c>
      <c r="C10" s="3">
        <v>45812</v>
      </c>
      <c r="D10" s="2" t="s">
        <v>16</v>
      </c>
      <c r="E10" s="2" t="s">
        <v>17</v>
      </c>
      <c r="F10" s="2" t="s">
        <v>18</v>
      </c>
      <c r="G10" s="2" t="s">
        <v>19</v>
      </c>
      <c r="H10" s="4">
        <v>7760.7</v>
      </c>
      <c r="I10" s="2" t="s">
        <v>20</v>
      </c>
      <c r="J10" s="6" t="s">
        <v>15</v>
      </c>
    </row>
    <row r="11" spans="1:12" x14ac:dyDescent="0.3">
      <c r="A11" s="5">
        <v>2025</v>
      </c>
      <c r="B11" s="2" t="s">
        <v>10</v>
      </c>
      <c r="C11" s="3">
        <v>45826</v>
      </c>
      <c r="D11" s="2" t="s">
        <v>16</v>
      </c>
      <c r="E11" s="2" t="s">
        <v>17</v>
      </c>
      <c r="F11" s="2" t="s">
        <v>21</v>
      </c>
      <c r="G11" s="2" t="s">
        <v>22</v>
      </c>
      <c r="H11" s="4">
        <v>540.9</v>
      </c>
      <c r="I11" s="2" t="s">
        <v>14</v>
      </c>
      <c r="J11" s="6" t="s">
        <v>15</v>
      </c>
    </row>
    <row r="12" spans="1:12" x14ac:dyDescent="0.3">
      <c r="A12" s="5">
        <v>2025</v>
      </c>
      <c r="B12" s="2" t="s">
        <v>10</v>
      </c>
      <c r="C12" s="3">
        <v>45816</v>
      </c>
      <c r="D12" s="2" t="s">
        <v>16</v>
      </c>
      <c r="E12" s="2" t="s">
        <v>23</v>
      </c>
      <c r="F12" s="2" t="s">
        <v>24</v>
      </c>
      <c r="G12" s="2" t="s">
        <v>25</v>
      </c>
      <c r="H12" s="4">
        <v>1988.1</v>
      </c>
      <c r="I12" s="2" t="s">
        <v>14</v>
      </c>
      <c r="J12" s="6" t="s">
        <v>15</v>
      </c>
    </row>
    <row r="13" spans="1:12" x14ac:dyDescent="0.3">
      <c r="A13" s="5">
        <v>2025</v>
      </c>
      <c r="B13" s="2" t="s">
        <v>10</v>
      </c>
      <c r="C13" s="3">
        <v>45832</v>
      </c>
      <c r="D13" s="2" t="s">
        <v>16</v>
      </c>
      <c r="E13" s="2" t="s">
        <v>23</v>
      </c>
      <c r="F13" s="2" t="s">
        <v>26</v>
      </c>
      <c r="G13" s="2" t="s">
        <v>27</v>
      </c>
      <c r="H13" s="4">
        <v>877.5</v>
      </c>
      <c r="I13" s="2" t="s">
        <v>28</v>
      </c>
      <c r="J13" s="6" t="s">
        <v>15</v>
      </c>
    </row>
    <row r="14" spans="1:12" x14ac:dyDescent="0.3">
      <c r="A14" s="5">
        <v>2025</v>
      </c>
      <c r="B14" s="2" t="s">
        <v>10</v>
      </c>
      <c r="C14" s="3">
        <v>45817</v>
      </c>
      <c r="D14" s="2" t="s">
        <v>16</v>
      </c>
      <c r="E14" s="2" t="s">
        <v>23</v>
      </c>
      <c r="F14" s="2" t="s">
        <v>29</v>
      </c>
      <c r="G14" s="2" t="s">
        <v>30</v>
      </c>
      <c r="H14" s="4">
        <v>471.6</v>
      </c>
      <c r="I14" s="2" t="s">
        <v>14</v>
      </c>
      <c r="J14" s="6" t="s">
        <v>15</v>
      </c>
    </row>
    <row r="15" spans="1:12" x14ac:dyDescent="0.3">
      <c r="A15" s="5">
        <v>2025</v>
      </c>
      <c r="B15" s="2" t="s">
        <v>10</v>
      </c>
      <c r="C15" s="3">
        <v>45818</v>
      </c>
      <c r="D15" s="2" t="s">
        <v>16</v>
      </c>
      <c r="E15" s="2" t="s">
        <v>31</v>
      </c>
      <c r="F15" s="2" t="s">
        <v>32</v>
      </c>
      <c r="G15" s="2" t="s">
        <v>33</v>
      </c>
      <c r="H15" s="4">
        <v>787.5</v>
      </c>
      <c r="I15" s="2" t="s">
        <v>20</v>
      </c>
      <c r="J15" s="6" t="s">
        <v>15</v>
      </c>
    </row>
    <row r="16" spans="1:12" x14ac:dyDescent="0.3">
      <c r="A16" s="5">
        <v>2025</v>
      </c>
      <c r="B16" s="2" t="s">
        <v>10</v>
      </c>
      <c r="C16" s="3">
        <v>45832</v>
      </c>
      <c r="D16" s="2" t="s">
        <v>16</v>
      </c>
      <c r="E16" s="2" t="s">
        <v>31</v>
      </c>
      <c r="F16" s="2" t="s">
        <v>34</v>
      </c>
      <c r="G16" s="2" t="s">
        <v>35</v>
      </c>
      <c r="H16" s="4">
        <v>291.60000000000002</v>
      </c>
      <c r="I16" s="2" t="s">
        <v>28</v>
      </c>
      <c r="J16" s="6" t="s">
        <v>15</v>
      </c>
    </row>
    <row r="17" spans="1:10" x14ac:dyDescent="0.3">
      <c r="A17" s="5">
        <v>2025</v>
      </c>
      <c r="B17" s="2" t="s">
        <v>10</v>
      </c>
      <c r="C17" s="3">
        <v>45818</v>
      </c>
      <c r="D17" s="2" t="s">
        <v>16</v>
      </c>
      <c r="E17" s="2" t="s">
        <v>31</v>
      </c>
      <c r="F17" s="2" t="s">
        <v>36</v>
      </c>
      <c r="G17" s="2" t="s">
        <v>37</v>
      </c>
      <c r="H17" s="4">
        <v>284.39999999999998</v>
      </c>
      <c r="I17" s="2" t="s">
        <v>20</v>
      </c>
      <c r="J17" s="6" t="s">
        <v>15</v>
      </c>
    </row>
    <row r="18" spans="1:10" x14ac:dyDescent="0.3">
      <c r="A18" s="5">
        <v>2025</v>
      </c>
      <c r="B18" s="2" t="s">
        <v>10</v>
      </c>
      <c r="C18" s="3">
        <v>45834</v>
      </c>
      <c r="D18" s="2" t="s">
        <v>16</v>
      </c>
      <c r="E18" s="2" t="s">
        <v>38</v>
      </c>
      <c r="F18" s="2" t="s">
        <v>39</v>
      </c>
      <c r="G18" s="2" t="s">
        <v>40</v>
      </c>
      <c r="H18" s="4">
        <v>557.1</v>
      </c>
      <c r="I18" s="2" t="s">
        <v>20</v>
      </c>
      <c r="J18" s="6" t="s">
        <v>15</v>
      </c>
    </row>
    <row r="19" spans="1:10" x14ac:dyDescent="0.3">
      <c r="A19" s="5">
        <v>2025</v>
      </c>
      <c r="B19" s="2" t="s">
        <v>10</v>
      </c>
      <c r="C19" s="3">
        <v>45812</v>
      </c>
      <c r="D19" s="2" t="s">
        <v>16</v>
      </c>
      <c r="E19" s="2" t="s">
        <v>38</v>
      </c>
      <c r="F19" s="2" t="s">
        <v>41</v>
      </c>
      <c r="G19" s="2" t="s">
        <v>42</v>
      </c>
      <c r="H19" s="4">
        <v>266.39999999999998</v>
      </c>
      <c r="I19" s="2" t="s">
        <v>20</v>
      </c>
      <c r="J19" s="6" t="s">
        <v>15</v>
      </c>
    </row>
    <row r="20" spans="1:10" x14ac:dyDescent="0.3">
      <c r="A20" s="5">
        <v>2025</v>
      </c>
      <c r="B20" s="2" t="s">
        <v>10</v>
      </c>
      <c r="C20" s="3">
        <v>45821</v>
      </c>
      <c r="D20" s="2" t="s">
        <v>16</v>
      </c>
      <c r="E20" s="2" t="s">
        <v>38</v>
      </c>
      <c r="F20" s="2" t="s">
        <v>43</v>
      </c>
      <c r="G20" s="2" t="s">
        <v>44</v>
      </c>
      <c r="H20" s="4">
        <v>196.2</v>
      </c>
      <c r="I20" s="2" t="s">
        <v>14</v>
      </c>
      <c r="J20" s="6" t="s">
        <v>15</v>
      </c>
    </row>
    <row r="21" spans="1:10" x14ac:dyDescent="0.3">
      <c r="A21" s="5">
        <v>2025</v>
      </c>
      <c r="B21" s="2" t="s">
        <v>10</v>
      </c>
      <c r="C21" s="3">
        <v>45818</v>
      </c>
      <c r="D21" s="2" t="s">
        <v>16</v>
      </c>
      <c r="E21" s="2" t="s">
        <v>38</v>
      </c>
      <c r="F21" s="2" t="s">
        <v>45</v>
      </c>
      <c r="G21" s="2" t="s">
        <v>46</v>
      </c>
      <c r="H21" s="4">
        <v>276.3</v>
      </c>
      <c r="I21" s="2" t="s">
        <v>14</v>
      </c>
      <c r="J21" s="6" t="s">
        <v>15</v>
      </c>
    </row>
    <row r="22" spans="1:10" x14ac:dyDescent="0.3">
      <c r="A22" s="5">
        <v>2025</v>
      </c>
      <c r="B22" s="2" t="s">
        <v>10</v>
      </c>
      <c r="C22" s="3">
        <v>45824</v>
      </c>
      <c r="D22" s="2" t="s">
        <v>16</v>
      </c>
      <c r="E22" s="2" t="s">
        <v>47</v>
      </c>
      <c r="F22" s="2" t="s">
        <v>48</v>
      </c>
      <c r="G22" s="2" t="s">
        <v>49</v>
      </c>
      <c r="H22" s="4">
        <v>1035</v>
      </c>
      <c r="I22" s="2" t="s">
        <v>28</v>
      </c>
      <c r="J22" s="6" t="s">
        <v>15</v>
      </c>
    </row>
    <row r="23" spans="1:10" x14ac:dyDescent="0.3">
      <c r="A23" s="5">
        <v>2025</v>
      </c>
      <c r="B23" s="2" t="s">
        <v>10</v>
      </c>
      <c r="C23" s="3">
        <v>45812</v>
      </c>
      <c r="D23" s="2" t="s">
        <v>16</v>
      </c>
      <c r="E23" s="2" t="s">
        <v>47</v>
      </c>
      <c r="F23" s="2" t="s">
        <v>50</v>
      </c>
      <c r="G23" s="2" t="s">
        <v>51</v>
      </c>
      <c r="H23" s="4">
        <v>368.1</v>
      </c>
      <c r="I23" s="2" t="s">
        <v>14</v>
      </c>
      <c r="J23" s="6" t="s">
        <v>15</v>
      </c>
    </row>
    <row r="24" spans="1:10" x14ac:dyDescent="0.3">
      <c r="A24" s="5">
        <v>2025</v>
      </c>
      <c r="B24" s="2" t="s">
        <v>10</v>
      </c>
      <c r="C24" s="3">
        <v>45829</v>
      </c>
      <c r="D24" s="2" t="s">
        <v>16</v>
      </c>
      <c r="E24" s="2" t="s">
        <v>52</v>
      </c>
      <c r="F24" s="2" t="s">
        <v>53</v>
      </c>
      <c r="G24" s="2" t="s">
        <v>54</v>
      </c>
      <c r="H24" s="4">
        <v>309.60000000000002</v>
      </c>
      <c r="I24" s="2" t="s">
        <v>14</v>
      </c>
      <c r="J24" s="6" t="s">
        <v>15</v>
      </c>
    </row>
    <row r="25" spans="1:10" x14ac:dyDescent="0.3">
      <c r="A25" s="5">
        <v>2025</v>
      </c>
      <c r="B25" s="2" t="s">
        <v>10</v>
      </c>
      <c r="C25" s="3">
        <v>45816</v>
      </c>
      <c r="D25" s="2" t="s">
        <v>16</v>
      </c>
      <c r="E25" s="2" t="s">
        <v>52</v>
      </c>
      <c r="F25" s="2" t="s">
        <v>55</v>
      </c>
      <c r="G25" s="2" t="s">
        <v>56</v>
      </c>
      <c r="H25" s="4">
        <v>162</v>
      </c>
      <c r="I25" s="2" t="s">
        <v>20</v>
      </c>
      <c r="J25" s="6" t="s">
        <v>15</v>
      </c>
    </row>
    <row r="26" spans="1:10" x14ac:dyDescent="0.3">
      <c r="A26" s="5">
        <v>2025</v>
      </c>
      <c r="B26" s="2" t="s">
        <v>10</v>
      </c>
      <c r="C26" s="3">
        <v>45831</v>
      </c>
      <c r="D26" s="2" t="s">
        <v>16</v>
      </c>
      <c r="E26" s="2" t="s">
        <v>52</v>
      </c>
      <c r="F26" s="2" t="s">
        <v>57</v>
      </c>
      <c r="G26" s="2" t="s">
        <v>58</v>
      </c>
      <c r="H26" s="4">
        <v>92.7</v>
      </c>
      <c r="I26" s="2" t="s">
        <v>28</v>
      </c>
      <c r="J26" s="6" t="s">
        <v>15</v>
      </c>
    </row>
    <row r="27" spans="1:10" x14ac:dyDescent="0.3">
      <c r="A27" s="5">
        <v>2025</v>
      </c>
      <c r="B27" s="2" t="s">
        <v>10</v>
      </c>
      <c r="C27" s="3">
        <v>45812</v>
      </c>
      <c r="D27" s="2" t="s">
        <v>16</v>
      </c>
      <c r="E27" s="2" t="s">
        <v>52</v>
      </c>
      <c r="F27" s="2" t="s">
        <v>59</v>
      </c>
      <c r="G27" s="2" t="s">
        <v>60</v>
      </c>
      <c r="H27" s="4">
        <v>32.4</v>
      </c>
      <c r="I27" s="2" t="s">
        <v>20</v>
      </c>
      <c r="J27" s="6" t="s">
        <v>15</v>
      </c>
    </row>
    <row r="28" spans="1:10" x14ac:dyDescent="0.3">
      <c r="A28" s="5">
        <v>2025</v>
      </c>
      <c r="B28" s="2" t="s">
        <v>10</v>
      </c>
      <c r="C28" s="3">
        <v>45822</v>
      </c>
      <c r="D28" s="2" t="s">
        <v>16</v>
      </c>
      <c r="E28" s="2" t="s">
        <v>61</v>
      </c>
      <c r="F28" s="2" t="s">
        <v>62</v>
      </c>
      <c r="G28" s="2" t="s">
        <v>63</v>
      </c>
      <c r="H28" s="4">
        <v>700.2</v>
      </c>
      <c r="I28" s="2" t="s">
        <v>28</v>
      </c>
      <c r="J28" s="6" t="s">
        <v>15</v>
      </c>
    </row>
    <row r="29" spans="1:10" x14ac:dyDescent="0.3">
      <c r="A29" s="5">
        <v>2025</v>
      </c>
      <c r="B29" s="2" t="s">
        <v>10</v>
      </c>
      <c r="C29" s="3">
        <v>45830</v>
      </c>
      <c r="D29" s="2" t="s">
        <v>16</v>
      </c>
      <c r="E29" s="2" t="s">
        <v>61</v>
      </c>
      <c r="F29" s="2" t="s">
        <v>64</v>
      </c>
      <c r="G29" s="2" t="s">
        <v>63</v>
      </c>
      <c r="H29" s="4">
        <v>791.1</v>
      </c>
      <c r="I29" s="2" t="s">
        <v>20</v>
      </c>
      <c r="J29" s="6" t="s">
        <v>15</v>
      </c>
    </row>
    <row r="30" spans="1:10" x14ac:dyDescent="0.3">
      <c r="A30" s="5">
        <v>2025</v>
      </c>
      <c r="B30" s="2" t="s">
        <v>10</v>
      </c>
      <c r="C30" s="3">
        <v>45821</v>
      </c>
      <c r="D30" s="2" t="s">
        <v>16</v>
      </c>
      <c r="E30" s="2" t="s">
        <v>65</v>
      </c>
      <c r="F30" s="2" t="s">
        <v>66</v>
      </c>
      <c r="G30" s="2" t="s">
        <v>67</v>
      </c>
      <c r="H30" s="4">
        <v>2356.1999999999998</v>
      </c>
      <c r="I30" s="2" t="s">
        <v>20</v>
      </c>
      <c r="J30" s="6" t="s">
        <v>15</v>
      </c>
    </row>
    <row r="31" spans="1:10" x14ac:dyDescent="0.3">
      <c r="A31" s="5">
        <v>2025</v>
      </c>
      <c r="B31" s="2" t="s">
        <v>10</v>
      </c>
      <c r="C31" s="3">
        <v>45832</v>
      </c>
      <c r="D31" s="2" t="s">
        <v>68</v>
      </c>
      <c r="E31" s="2" t="s">
        <v>69</v>
      </c>
      <c r="F31" s="2" t="s">
        <v>70</v>
      </c>
      <c r="G31" s="2" t="s">
        <v>71</v>
      </c>
      <c r="H31" s="4">
        <v>2591</v>
      </c>
      <c r="I31" s="2" t="s">
        <v>72</v>
      </c>
      <c r="J31" s="6" t="s">
        <v>15</v>
      </c>
    </row>
    <row r="32" spans="1:10" x14ac:dyDescent="0.3">
      <c r="A32" s="5">
        <v>2025</v>
      </c>
      <c r="B32" s="2" t="s">
        <v>10</v>
      </c>
      <c r="C32" s="3">
        <v>45833</v>
      </c>
      <c r="D32" s="2" t="s">
        <v>68</v>
      </c>
      <c r="E32" s="2" t="s">
        <v>69</v>
      </c>
      <c r="F32" s="2" t="s">
        <v>73</v>
      </c>
      <c r="G32" s="2" t="s">
        <v>71</v>
      </c>
      <c r="H32" s="4">
        <v>1703</v>
      </c>
      <c r="I32" s="2" t="s">
        <v>72</v>
      </c>
      <c r="J32" s="6" t="s">
        <v>15</v>
      </c>
    </row>
    <row r="33" spans="1:10" x14ac:dyDescent="0.3">
      <c r="A33" s="5">
        <v>2025</v>
      </c>
      <c r="B33" s="2" t="s">
        <v>10</v>
      </c>
      <c r="C33" s="3">
        <v>45830</v>
      </c>
      <c r="D33" s="2" t="s">
        <v>68</v>
      </c>
      <c r="E33" s="2" t="s">
        <v>69</v>
      </c>
      <c r="F33" s="2" t="s">
        <v>74</v>
      </c>
      <c r="G33" s="2" t="s">
        <v>75</v>
      </c>
      <c r="H33" s="4">
        <v>962</v>
      </c>
      <c r="I33" s="2" t="s">
        <v>72</v>
      </c>
      <c r="J33" s="6" t="s">
        <v>15</v>
      </c>
    </row>
    <row r="34" spans="1:10" x14ac:dyDescent="0.3">
      <c r="A34" s="5">
        <v>2025</v>
      </c>
      <c r="B34" s="2" t="s">
        <v>10</v>
      </c>
      <c r="C34" s="3">
        <v>45828</v>
      </c>
      <c r="D34" s="2" t="s">
        <v>68</v>
      </c>
      <c r="E34" s="2" t="s">
        <v>69</v>
      </c>
      <c r="F34" s="2" t="s">
        <v>76</v>
      </c>
      <c r="G34" s="2" t="s">
        <v>77</v>
      </c>
      <c r="H34" s="4">
        <v>562</v>
      </c>
      <c r="I34" s="2" t="s">
        <v>72</v>
      </c>
      <c r="J34" s="6" t="s">
        <v>15</v>
      </c>
    </row>
    <row r="35" spans="1:10" x14ac:dyDescent="0.3">
      <c r="A35" s="5">
        <v>2025</v>
      </c>
      <c r="B35" s="2" t="s">
        <v>78</v>
      </c>
      <c r="C35" s="3">
        <v>45839</v>
      </c>
      <c r="D35" s="2" t="s">
        <v>11</v>
      </c>
      <c r="E35" s="2" t="s">
        <v>12</v>
      </c>
      <c r="F35" s="2" t="s">
        <v>12</v>
      </c>
      <c r="G35" s="2" t="s">
        <v>13</v>
      </c>
      <c r="H35" s="4">
        <v>32139</v>
      </c>
      <c r="I35" s="2" t="s">
        <v>14</v>
      </c>
      <c r="J35" s="6" t="s">
        <v>15</v>
      </c>
    </row>
    <row r="36" spans="1:10" x14ac:dyDescent="0.3">
      <c r="A36" s="5">
        <v>2025</v>
      </c>
      <c r="B36" s="2" t="s">
        <v>78</v>
      </c>
      <c r="C36" s="3">
        <v>45848</v>
      </c>
      <c r="D36" s="2" t="s">
        <v>16</v>
      </c>
      <c r="E36" s="2" t="s">
        <v>17</v>
      </c>
      <c r="F36" s="2" t="s">
        <v>18</v>
      </c>
      <c r="G36" s="2" t="s">
        <v>19</v>
      </c>
      <c r="H36" s="4">
        <v>8099.1</v>
      </c>
      <c r="I36" s="2" t="s">
        <v>20</v>
      </c>
      <c r="J36" s="6" t="s">
        <v>15</v>
      </c>
    </row>
    <row r="37" spans="1:10" x14ac:dyDescent="0.3">
      <c r="A37" s="5">
        <v>2025</v>
      </c>
      <c r="B37" s="2" t="s">
        <v>78</v>
      </c>
      <c r="C37" s="3">
        <v>45858</v>
      </c>
      <c r="D37" s="2" t="s">
        <v>16</v>
      </c>
      <c r="E37" s="2" t="s">
        <v>17</v>
      </c>
      <c r="F37" s="2" t="s">
        <v>21</v>
      </c>
      <c r="G37" s="2" t="s">
        <v>22</v>
      </c>
      <c r="H37" s="4">
        <v>747.9</v>
      </c>
      <c r="I37" s="2" t="s">
        <v>20</v>
      </c>
      <c r="J37" s="6" t="s">
        <v>15</v>
      </c>
    </row>
    <row r="38" spans="1:10" x14ac:dyDescent="0.3">
      <c r="A38" s="5">
        <v>2025</v>
      </c>
      <c r="B38" s="2" t="s">
        <v>78</v>
      </c>
      <c r="C38" s="3">
        <v>45860</v>
      </c>
      <c r="D38" s="2" t="s">
        <v>16</v>
      </c>
      <c r="E38" s="2" t="s">
        <v>23</v>
      </c>
      <c r="F38" s="2" t="s">
        <v>24</v>
      </c>
      <c r="G38" s="2" t="s">
        <v>79</v>
      </c>
      <c r="H38" s="4">
        <v>2450.6999999999998</v>
      </c>
      <c r="I38" s="2" t="s">
        <v>28</v>
      </c>
      <c r="J38" s="6" t="s">
        <v>15</v>
      </c>
    </row>
    <row r="39" spans="1:10" x14ac:dyDescent="0.3">
      <c r="A39" s="5">
        <v>2025</v>
      </c>
      <c r="B39" s="2" t="s">
        <v>78</v>
      </c>
      <c r="C39" s="3">
        <v>45860</v>
      </c>
      <c r="D39" s="2" t="s">
        <v>16</v>
      </c>
      <c r="E39" s="2" t="s">
        <v>23</v>
      </c>
      <c r="F39" s="2" t="s">
        <v>26</v>
      </c>
      <c r="G39" s="2" t="s">
        <v>30</v>
      </c>
      <c r="H39" s="4">
        <v>909.9</v>
      </c>
      <c r="I39" s="2" t="s">
        <v>20</v>
      </c>
      <c r="J39" s="6" t="s">
        <v>15</v>
      </c>
    </row>
    <row r="40" spans="1:10" x14ac:dyDescent="0.3">
      <c r="A40" s="5">
        <v>2025</v>
      </c>
      <c r="B40" s="2" t="s">
        <v>78</v>
      </c>
      <c r="C40" s="3">
        <v>45848</v>
      </c>
      <c r="D40" s="2" t="s">
        <v>16</v>
      </c>
      <c r="E40" s="2" t="s">
        <v>23</v>
      </c>
      <c r="F40" s="2" t="s">
        <v>29</v>
      </c>
      <c r="G40" s="2" t="s">
        <v>80</v>
      </c>
      <c r="H40" s="4">
        <v>727.2</v>
      </c>
      <c r="I40" s="2" t="s">
        <v>20</v>
      </c>
      <c r="J40" s="6" t="s">
        <v>15</v>
      </c>
    </row>
    <row r="41" spans="1:10" x14ac:dyDescent="0.3">
      <c r="A41" s="5">
        <v>2025</v>
      </c>
      <c r="B41" s="2" t="s">
        <v>78</v>
      </c>
      <c r="C41" s="3">
        <v>45863</v>
      </c>
      <c r="D41" s="2" t="s">
        <v>16</v>
      </c>
      <c r="E41" s="2" t="s">
        <v>31</v>
      </c>
      <c r="F41" s="2" t="s">
        <v>32</v>
      </c>
      <c r="G41" s="2" t="s">
        <v>81</v>
      </c>
      <c r="H41" s="4">
        <v>1064.7</v>
      </c>
      <c r="I41" s="2" t="s">
        <v>14</v>
      </c>
      <c r="J41" s="6" t="s">
        <v>15</v>
      </c>
    </row>
    <row r="42" spans="1:10" x14ac:dyDescent="0.3">
      <c r="A42" s="5">
        <v>2025</v>
      </c>
      <c r="B42" s="2" t="s">
        <v>78</v>
      </c>
      <c r="C42" s="3">
        <v>45848</v>
      </c>
      <c r="D42" s="2" t="s">
        <v>16</v>
      </c>
      <c r="E42" s="2" t="s">
        <v>31</v>
      </c>
      <c r="F42" s="2" t="s">
        <v>34</v>
      </c>
      <c r="G42" s="2" t="s">
        <v>35</v>
      </c>
      <c r="H42" s="4">
        <v>421.2</v>
      </c>
      <c r="I42" s="2" t="s">
        <v>14</v>
      </c>
      <c r="J42" s="6" t="s">
        <v>15</v>
      </c>
    </row>
    <row r="43" spans="1:10" x14ac:dyDescent="0.3">
      <c r="A43" s="5">
        <v>2025</v>
      </c>
      <c r="B43" s="2" t="s">
        <v>78</v>
      </c>
      <c r="C43" s="3">
        <v>45852</v>
      </c>
      <c r="D43" s="2" t="s">
        <v>16</v>
      </c>
      <c r="E43" s="2" t="s">
        <v>31</v>
      </c>
      <c r="F43" s="2" t="s">
        <v>36</v>
      </c>
      <c r="G43" s="2" t="s">
        <v>82</v>
      </c>
      <c r="H43" s="4">
        <v>224.1</v>
      </c>
      <c r="I43" s="2" t="s">
        <v>20</v>
      </c>
      <c r="J43" s="6" t="s">
        <v>15</v>
      </c>
    </row>
    <row r="44" spans="1:10" x14ac:dyDescent="0.3">
      <c r="A44" s="5">
        <v>2025</v>
      </c>
      <c r="B44" s="2" t="s">
        <v>78</v>
      </c>
      <c r="C44" s="3">
        <v>45844</v>
      </c>
      <c r="D44" s="2" t="s">
        <v>16</v>
      </c>
      <c r="E44" s="2" t="s">
        <v>38</v>
      </c>
      <c r="F44" s="2" t="s">
        <v>39</v>
      </c>
      <c r="G44" s="2" t="s">
        <v>40</v>
      </c>
      <c r="H44" s="4">
        <v>712.8</v>
      </c>
      <c r="I44" s="2" t="s">
        <v>20</v>
      </c>
      <c r="J44" s="6" t="s">
        <v>15</v>
      </c>
    </row>
    <row r="45" spans="1:10" x14ac:dyDescent="0.3">
      <c r="A45" s="5">
        <v>2025</v>
      </c>
      <c r="B45" s="2" t="s">
        <v>78</v>
      </c>
      <c r="C45" s="3">
        <v>45864</v>
      </c>
      <c r="D45" s="2" t="s">
        <v>16</v>
      </c>
      <c r="E45" s="2" t="s">
        <v>38</v>
      </c>
      <c r="F45" s="2" t="s">
        <v>41</v>
      </c>
      <c r="G45" s="2" t="s">
        <v>83</v>
      </c>
      <c r="H45" s="4">
        <v>272.7</v>
      </c>
      <c r="I45" s="2" t="s">
        <v>20</v>
      </c>
      <c r="J45" s="6" t="s">
        <v>15</v>
      </c>
    </row>
    <row r="46" spans="1:10" x14ac:dyDescent="0.3">
      <c r="A46" s="5">
        <v>2025</v>
      </c>
      <c r="B46" s="2" t="s">
        <v>78</v>
      </c>
      <c r="C46" s="3">
        <v>45844</v>
      </c>
      <c r="D46" s="2" t="s">
        <v>16</v>
      </c>
      <c r="E46" s="2" t="s">
        <v>38</v>
      </c>
      <c r="F46" s="2" t="s">
        <v>43</v>
      </c>
      <c r="G46" s="2" t="s">
        <v>83</v>
      </c>
      <c r="H46" s="4">
        <v>200.7</v>
      </c>
      <c r="I46" s="2" t="s">
        <v>14</v>
      </c>
      <c r="J46" s="6" t="s">
        <v>15</v>
      </c>
    </row>
    <row r="47" spans="1:10" x14ac:dyDescent="0.3">
      <c r="A47" s="5">
        <v>2025</v>
      </c>
      <c r="B47" s="2" t="s">
        <v>78</v>
      </c>
      <c r="C47" s="3">
        <v>45853</v>
      </c>
      <c r="D47" s="2" t="s">
        <v>16</v>
      </c>
      <c r="E47" s="2" t="s">
        <v>38</v>
      </c>
      <c r="F47" s="2" t="s">
        <v>45</v>
      </c>
      <c r="G47" s="2" t="s">
        <v>46</v>
      </c>
      <c r="H47" s="4">
        <v>301.5</v>
      </c>
      <c r="I47" s="2" t="s">
        <v>28</v>
      </c>
      <c r="J47" s="6" t="s">
        <v>15</v>
      </c>
    </row>
    <row r="48" spans="1:10" x14ac:dyDescent="0.3">
      <c r="A48" s="5">
        <v>2025</v>
      </c>
      <c r="B48" s="2" t="s">
        <v>78</v>
      </c>
      <c r="C48" s="3">
        <v>45852</v>
      </c>
      <c r="D48" s="2" t="s">
        <v>16</v>
      </c>
      <c r="E48" s="2" t="s">
        <v>47</v>
      </c>
      <c r="F48" s="2" t="s">
        <v>48</v>
      </c>
      <c r="G48" s="2" t="s">
        <v>84</v>
      </c>
      <c r="H48" s="4">
        <v>500.4</v>
      </c>
      <c r="I48" s="2" t="s">
        <v>14</v>
      </c>
      <c r="J48" s="6" t="s">
        <v>15</v>
      </c>
    </row>
    <row r="49" spans="1:10" x14ac:dyDescent="0.3">
      <c r="A49" s="5">
        <v>2025</v>
      </c>
      <c r="B49" s="2" t="s">
        <v>78</v>
      </c>
      <c r="C49" s="3">
        <v>45848</v>
      </c>
      <c r="D49" s="2" t="s">
        <v>16</v>
      </c>
      <c r="E49" s="2" t="s">
        <v>47</v>
      </c>
      <c r="F49" s="2" t="s">
        <v>50</v>
      </c>
      <c r="G49" s="2" t="s">
        <v>85</v>
      </c>
      <c r="H49" s="4">
        <v>454.5</v>
      </c>
      <c r="I49" s="2" t="s">
        <v>14</v>
      </c>
      <c r="J49" s="6" t="s">
        <v>15</v>
      </c>
    </row>
    <row r="50" spans="1:10" x14ac:dyDescent="0.3">
      <c r="A50" s="5">
        <v>2025</v>
      </c>
      <c r="B50" s="2" t="s">
        <v>78</v>
      </c>
      <c r="C50" s="3">
        <v>45863</v>
      </c>
      <c r="D50" s="2" t="s">
        <v>16</v>
      </c>
      <c r="E50" s="2" t="s">
        <v>52</v>
      </c>
      <c r="F50" s="2" t="s">
        <v>53</v>
      </c>
      <c r="G50" s="2" t="s">
        <v>86</v>
      </c>
      <c r="H50" s="4">
        <v>384.3</v>
      </c>
      <c r="I50" s="2" t="s">
        <v>14</v>
      </c>
      <c r="J50" s="6" t="s">
        <v>15</v>
      </c>
    </row>
    <row r="51" spans="1:10" x14ac:dyDescent="0.3">
      <c r="A51" s="5">
        <v>2025</v>
      </c>
      <c r="B51" s="2" t="s">
        <v>78</v>
      </c>
      <c r="C51" s="3">
        <v>45857</v>
      </c>
      <c r="D51" s="2" t="s">
        <v>16</v>
      </c>
      <c r="E51" s="2" t="s">
        <v>52</v>
      </c>
      <c r="F51" s="2" t="s">
        <v>55</v>
      </c>
      <c r="G51" s="2" t="s">
        <v>87</v>
      </c>
      <c r="H51" s="4">
        <v>114.3</v>
      </c>
      <c r="I51" s="2" t="s">
        <v>14</v>
      </c>
      <c r="J51" s="6" t="s">
        <v>15</v>
      </c>
    </row>
    <row r="52" spans="1:10" x14ac:dyDescent="0.3">
      <c r="A52" s="5">
        <v>2025</v>
      </c>
      <c r="B52" s="2" t="s">
        <v>78</v>
      </c>
      <c r="C52" s="3">
        <v>45850</v>
      </c>
      <c r="D52" s="2" t="s">
        <v>16</v>
      </c>
      <c r="E52" s="2" t="s">
        <v>52</v>
      </c>
      <c r="F52" s="2" t="s">
        <v>57</v>
      </c>
      <c r="G52" s="2" t="s">
        <v>58</v>
      </c>
      <c r="H52" s="4">
        <v>180.9</v>
      </c>
      <c r="I52" s="2" t="s">
        <v>28</v>
      </c>
      <c r="J52" s="6" t="s">
        <v>15</v>
      </c>
    </row>
    <row r="53" spans="1:10" x14ac:dyDescent="0.3">
      <c r="A53" s="5">
        <v>2025</v>
      </c>
      <c r="B53" s="2" t="s">
        <v>78</v>
      </c>
      <c r="C53" s="3">
        <v>45853</v>
      </c>
      <c r="D53" s="2" t="s">
        <v>16</v>
      </c>
      <c r="E53" s="2" t="s">
        <v>52</v>
      </c>
      <c r="F53" s="2" t="s">
        <v>59</v>
      </c>
      <c r="G53" s="2" t="s">
        <v>60</v>
      </c>
      <c r="H53" s="4">
        <v>448.2</v>
      </c>
      <c r="I53" s="2" t="s">
        <v>28</v>
      </c>
      <c r="J53" s="6" t="s">
        <v>15</v>
      </c>
    </row>
    <row r="54" spans="1:10" x14ac:dyDescent="0.3">
      <c r="A54" s="5">
        <v>2025</v>
      </c>
      <c r="B54" s="2" t="s">
        <v>78</v>
      </c>
      <c r="C54" s="3">
        <v>45840</v>
      </c>
      <c r="D54" s="2" t="s">
        <v>16</v>
      </c>
      <c r="E54" s="2" t="s">
        <v>61</v>
      </c>
      <c r="F54" s="2" t="s">
        <v>62</v>
      </c>
      <c r="G54" s="2" t="s">
        <v>63</v>
      </c>
      <c r="H54" s="4">
        <v>717.3</v>
      </c>
      <c r="I54" s="2" t="s">
        <v>14</v>
      </c>
      <c r="J54" s="6" t="s">
        <v>15</v>
      </c>
    </row>
    <row r="55" spans="1:10" x14ac:dyDescent="0.3">
      <c r="A55" s="5">
        <v>2025</v>
      </c>
      <c r="B55" s="2" t="s">
        <v>78</v>
      </c>
      <c r="C55" s="3">
        <v>45864</v>
      </c>
      <c r="D55" s="2" t="s">
        <v>16</v>
      </c>
      <c r="E55" s="2" t="s">
        <v>61</v>
      </c>
      <c r="F55" s="2" t="s">
        <v>64</v>
      </c>
      <c r="G55" s="2" t="s">
        <v>63</v>
      </c>
      <c r="H55" s="4">
        <v>826.2</v>
      </c>
      <c r="I55" s="2" t="s">
        <v>14</v>
      </c>
      <c r="J55" s="6" t="s">
        <v>15</v>
      </c>
    </row>
    <row r="56" spans="1:10" x14ac:dyDescent="0.3">
      <c r="A56" s="5">
        <v>2025</v>
      </c>
      <c r="B56" s="2" t="s">
        <v>78</v>
      </c>
      <c r="C56" s="3">
        <v>45843</v>
      </c>
      <c r="D56" s="2" t="s">
        <v>16</v>
      </c>
      <c r="E56" s="2" t="s">
        <v>65</v>
      </c>
      <c r="F56" s="2" t="s">
        <v>66</v>
      </c>
      <c r="G56" s="2" t="s">
        <v>67</v>
      </c>
      <c r="H56" s="4">
        <v>2459.6999999999998</v>
      </c>
      <c r="I56" s="2" t="s">
        <v>14</v>
      </c>
      <c r="J56" s="6" t="s">
        <v>15</v>
      </c>
    </row>
    <row r="57" spans="1:10" x14ac:dyDescent="0.3">
      <c r="A57" s="5">
        <v>2025</v>
      </c>
      <c r="B57" s="2" t="s">
        <v>78</v>
      </c>
      <c r="C57" s="3">
        <v>45857</v>
      </c>
      <c r="D57" s="2" t="s">
        <v>68</v>
      </c>
      <c r="E57" s="2" t="s">
        <v>69</v>
      </c>
      <c r="F57" s="2" t="s">
        <v>70</v>
      </c>
      <c r="G57" s="2" t="s">
        <v>71</v>
      </c>
      <c r="H57" s="4">
        <v>2821</v>
      </c>
      <c r="I57" s="2" t="s">
        <v>72</v>
      </c>
      <c r="J57" s="6" t="s">
        <v>15</v>
      </c>
    </row>
    <row r="58" spans="1:10" x14ac:dyDescent="0.3">
      <c r="A58" s="5">
        <v>2025</v>
      </c>
      <c r="B58" s="2" t="s">
        <v>78</v>
      </c>
      <c r="C58" s="3">
        <v>45845</v>
      </c>
      <c r="D58" s="2" t="s">
        <v>68</v>
      </c>
      <c r="E58" s="2" t="s">
        <v>69</v>
      </c>
      <c r="F58" s="2" t="s">
        <v>73</v>
      </c>
      <c r="G58" s="2" t="s">
        <v>71</v>
      </c>
      <c r="H58" s="4">
        <v>1854</v>
      </c>
      <c r="I58" s="2" t="s">
        <v>72</v>
      </c>
      <c r="J58" s="6" t="s">
        <v>15</v>
      </c>
    </row>
    <row r="59" spans="1:10" x14ac:dyDescent="0.3">
      <c r="A59" s="5">
        <v>2025</v>
      </c>
      <c r="B59" s="2" t="s">
        <v>78</v>
      </c>
      <c r="C59" s="3">
        <v>45865</v>
      </c>
      <c r="D59" s="2" t="s">
        <v>68</v>
      </c>
      <c r="E59" s="2" t="s">
        <v>69</v>
      </c>
      <c r="F59" s="2" t="s">
        <v>74</v>
      </c>
      <c r="G59" s="2" t="s">
        <v>75</v>
      </c>
      <c r="H59" s="4">
        <v>1069</v>
      </c>
      <c r="I59" s="2" t="s">
        <v>72</v>
      </c>
      <c r="J59" s="6" t="s">
        <v>15</v>
      </c>
    </row>
    <row r="60" spans="1:10" x14ac:dyDescent="0.3">
      <c r="A60" s="5">
        <v>2025</v>
      </c>
      <c r="B60" s="2" t="s">
        <v>78</v>
      </c>
      <c r="C60" s="3">
        <v>45858</v>
      </c>
      <c r="D60" s="2" t="s">
        <v>68</v>
      </c>
      <c r="E60" s="2" t="s">
        <v>69</v>
      </c>
      <c r="F60" s="2" t="s">
        <v>76</v>
      </c>
      <c r="G60" s="2" t="s">
        <v>77</v>
      </c>
      <c r="H60" s="4">
        <v>624</v>
      </c>
      <c r="I60" s="2" t="s">
        <v>72</v>
      </c>
      <c r="J60" s="6" t="s">
        <v>15</v>
      </c>
    </row>
    <row r="61" spans="1:10" x14ac:dyDescent="0.3">
      <c r="A61" s="5">
        <v>2025</v>
      </c>
      <c r="B61" s="2" t="s">
        <v>88</v>
      </c>
      <c r="C61" s="3">
        <v>45870</v>
      </c>
      <c r="D61" s="2" t="s">
        <v>11</v>
      </c>
      <c r="E61" s="2" t="s">
        <v>12</v>
      </c>
      <c r="F61" s="2" t="s">
        <v>12</v>
      </c>
      <c r="G61" s="2" t="s">
        <v>13</v>
      </c>
      <c r="H61" s="4">
        <v>29337</v>
      </c>
      <c r="I61" s="2" t="s">
        <v>14</v>
      </c>
      <c r="J61" s="6" t="s">
        <v>15</v>
      </c>
    </row>
    <row r="62" spans="1:10" x14ac:dyDescent="0.3">
      <c r="A62" s="5">
        <v>2025</v>
      </c>
      <c r="B62" s="2" t="s">
        <v>88</v>
      </c>
      <c r="C62" s="3">
        <v>45894</v>
      </c>
      <c r="D62" s="2" t="s">
        <v>16</v>
      </c>
      <c r="E62" s="2" t="s">
        <v>17</v>
      </c>
      <c r="F62" s="2" t="s">
        <v>18</v>
      </c>
      <c r="G62" s="2" t="s">
        <v>19</v>
      </c>
      <c r="H62" s="4">
        <v>3769.2</v>
      </c>
      <c r="I62" s="2" t="s">
        <v>20</v>
      </c>
      <c r="J62" s="6" t="s">
        <v>15</v>
      </c>
    </row>
    <row r="63" spans="1:10" x14ac:dyDescent="0.3">
      <c r="A63" s="5">
        <v>2025</v>
      </c>
      <c r="B63" s="2" t="s">
        <v>88</v>
      </c>
      <c r="C63" s="3">
        <v>45895</v>
      </c>
      <c r="D63" s="2" t="s">
        <v>16</v>
      </c>
      <c r="E63" s="2" t="s">
        <v>17</v>
      </c>
      <c r="F63" s="2" t="s">
        <v>21</v>
      </c>
      <c r="G63" s="2" t="s">
        <v>22</v>
      </c>
      <c r="H63" s="4">
        <v>851.4</v>
      </c>
      <c r="I63" s="2" t="s">
        <v>20</v>
      </c>
      <c r="J63" s="6" t="s">
        <v>15</v>
      </c>
    </row>
    <row r="64" spans="1:10" x14ac:dyDescent="0.3">
      <c r="A64" s="5">
        <v>2025</v>
      </c>
      <c r="B64" s="2" t="s">
        <v>88</v>
      </c>
      <c r="C64" s="3">
        <v>45892</v>
      </c>
      <c r="D64" s="2" t="s">
        <v>16</v>
      </c>
      <c r="E64" s="2" t="s">
        <v>23</v>
      </c>
      <c r="F64" s="2" t="s">
        <v>24</v>
      </c>
      <c r="G64" s="2" t="s">
        <v>79</v>
      </c>
      <c r="H64" s="4">
        <v>3269.7</v>
      </c>
      <c r="I64" s="2" t="s">
        <v>14</v>
      </c>
      <c r="J64" s="6" t="s">
        <v>15</v>
      </c>
    </row>
    <row r="65" spans="1:10" x14ac:dyDescent="0.3">
      <c r="A65" s="5">
        <v>2025</v>
      </c>
      <c r="B65" s="2" t="s">
        <v>88</v>
      </c>
      <c r="C65" s="3">
        <v>45876</v>
      </c>
      <c r="D65" s="2" t="s">
        <v>16</v>
      </c>
      <c r="E65" s="2" t="s">
        <v>23</v>
      </c>
      <c r="F65" s="2" t="s">
        <v>26</v>
      </c>
      <c r="G65" s="2" t="s">
        <v>30</v>
      </c>
      <c r="H65" s="4">
        <v>779.4</v>
      </c>
      <c r="I65" s="2" t="s">
        <v>14</v>
      </c>
      <c r="J65" s="6" t="s">
        <v>15</v>
      </c>
    </row>
    <row r="66" spans="1:10" x14ac:dyDescent="0.3">
      <c r="A66" s="5">
        <v>2025</v>
      </c>
      <c r="B66" s="2" t="s">
        <v>88</v>
      </c>
      <c r="C66" s="3">
        <v>45890</v>
      </c>
      <c r="D66" s="2" t="s">
        <v>16</v>
      </c>
      <c r="E66" s="2" t="s">
        <v>23</v>
      </c>
      <c r="F66" s="2" t="s">
        <v>29</v>
      </c>
      <c r="G66" s="2" t="s">
        <v>30</v>
      </c>
      <c r="H66" s="4">
        <v>513.9</v>
      </c>
      <c r="I66" s="2" t="s">
        <v>20</v>
      </c>
      <c r="J66" s="6" t="s">
        <v>15</v>
      </c>
    </row>
    <row r="67" spans="1:10" x14ac:dyDescent="0.3">
      <c r="A67" s="5">
        <v>2025</v>
      </c>
      <c r="B67" s="2" t="s">
        <v>88</v>
      </c>
      <c r="C67" s="3">
        <v>45888</v>
      </c>
      <c r="D67" s="2" t="s">
        <v>16</v>
      </c>
      <c r="E67" s="2" t="s">
        <v>31</v>
      </c>
      <c r="F67" s="2" t="s">
        <v>32</v>
      </c>
      <c r="G67" s="2" t="s">
        <v>81</v>
      </c>
      <c r="H67" s="4">
        <v>1121.4000000000001</v>
      </c>
      <c r="I67" s="2" t="s">
        <v>14</v>
      </c>
      <c r="J67" s="6" t="s">
        <v>15</v>
      </c>
    </row>
    <row r="68" spans="1:10" x14ac:dyDescent="0.3">
      <c r="A68" s="5">
        <v>2025</v>
      </c>
      <c r="B68" s="2" t="s">
        <v>88</v>
      </c>
      <c r="C68" s="3">
        <v>45877</v>
      </c>
      <c r="D68" s="2" t="s">
        <v>16</v>
      </c>
      <c r="E68" s="2" t="s">
        <v>31</v>
      </c>
      <c r="F68" s="2" t="s">
        <v>34</v>
      </c>
      <c r="G68" s="2" t="s">
        <v>35</v>
      </c>
      <c r="H68" s="4">
        <v>653.4</v>
      </c>
      <c r="I68" s="2" t="s">
        <v>28</v>
      </c>
      <c r="J68" s="6" t="s">
        <v>15</v>
      </c>
    </row>
    <row r="69" spans="1:10" x14ac:dyDescent="0.3">
      <c r="A69" s="5">
        <v>2025</v>
      </c>
      <c r="B69" s="2" t="s">
        <v>88</v>
      </c>
      <c r="C69" s="3">
        <v>45892</v>
      </c>
      <c r="D69" s="2" t="s">
        <v>16</v>
      </c>
      <c r="E69" s="2" t="s">
        <v>31</v>
      </c>
      <c r="F69" s="2" t="s">
        <v>36</v>
      </c>
      <c r="G69" s="2" t="s">
        <v>82</v>
      </c>
      <c r="H69" s="4">
        <v>385.2</v>
      </c>
      <c r="I69" s="2" t="s">
        <v>28</v>
      </c>
      <c r="J69" s="6" t="s">
        <v>15</v>
      </c>
    </row>
    <row r="70" spans="1:10" x14ac:dyDescent="0.3">
      <c r="A70" s="5">
        <v>2025</v>
      </c>
      <c r="B70" s="2" t="s">
        <v>88</v>
      </c>
      <c r="C70" s="3">
        <v>45887</v>
      </c>
      <c r="D70" s="2" t="s">
        <v>16</v>
      </c>
      <c r="E70" s="2" t="s">
        <v>38</v>
      </c>
      <c r="F70" s="2" t="s">
        <v>39</v>
      </c>
      <c r="G70" s="2" t="s">
        <v>40</v>
      </c>
      <c r="H70" s="4">
        <v>873.9</v>
      </c>
      <c r="I70" s="2" t="s">
        <v>20</v>
      </c>
      <c r="J70" s="6" t="s">
        <v>15</v>
      </c>
    </row>
    <row r="71" spans="1:10" x14ac:dyDescent="0.3">
      <c r="A71" s="5">
        <v>2025</v>
      </c>
      <c r="B71" s="2" t="s">
        <v>88</v>
      </c>
      <c r="C71" s="3">
        <v>45878</v>
      </c>
      <c r="D71" s="2" t="s">
        <v>16</v>
      </c>
      <c r="E71" s="2" t="s">
        <v>38</v>
      </c>
      <c r="F71" s="2" t="s">
        <v>41</v>
      </c>
      <c r="G71" s="2" t="s">
        <v>83</v>
      </c>
      <c r="H71" s="4">
        <v>345.6</v>
      </c>
      <c r="I71" s="2" t="s">
        <v>20</v>
      </c>
      <c r="J71" s="6" t="s">
        <v>15</v>
      </c>
    </row>
    <row r="72" spans="1:10" x14ac:dyDescent="0.3">
      <c r="A72" s="5">
        <v>2025</v>
      </c>
      <c r="B72" s="2" t="s">
        <v>88</v>
      </c>
      <c r="C72" s="3">
        <v>45881</v>
      </c>
      <c r="D72" s="2" t="s">
        <v>16</v>
      </c>
      <c r="E72" s="2" t="s">
        <v>38</v>
      </c>
      <c r="F72" s="2" t="s">
        <v>43</v>
      </c>
      <c r="G72" s="2" t="s">
        <v>83</v>
      </c>
      <c r="H72" s="4">
        <v>253.8</v>
      </c>
      <c r="I72" s="2" t="s">
        <v>14</v>
      </c>
      <c r="J72" s="6" t="s">
        <v>15</v>
      </c>
    </row>
    <row r="73" spans="1:10" x14ac:dyDescent="0.3">
      <c r="A73" s="5">
        <v>2025</v>
      </c>
      <c r="B73" s="2" t="s">
        <v>88</v>
      </c>
      <c r="C73" s="3">
        <v>45888</v>
      </c>
      <c r="D73" s="2" t="s">
        <v>16</v>
      </c>
      <c r="E73" s="2" t="s">
        <v>38</v>
      </c>
      <c r="F73" s="2" t="s">
        <v>45</v>
      </c>
      <c r="G73" s="2" t="s">
        <v>46</v>
      </c>
      <c r="H73" s="4">
        <v>281.7</v>
      </c>
      <c r="I73" s="2" t="s">
        <v>14</v>
      </c>
      <c r="J73" s="6" t="s">
        <v>15</v>
      </c>
    </row>
    <row r="74" spans="1:10" x14ac:dyDescent="0.3">
      <c r="A74" s="5">
        <v>2025</v>
      </c>
      <c r="B74" s="2" t="s">
        <v>88</v>
      </c>
      <c r="C74" s="3">
        <v>45878</v>
      </c>
      <c r="D74" s="2" t="s">
        <v>16</v>
      </c>
      <c r="E74" s="2" t="s">
        <v>47</v>
      </c>
      <c r="F74" s="2" t="s">
        <v>48</v>
      </c>
      <c r="G74" s="2" t="s">
        <v>49</v>
      </c>
      <c r="H74" s="4">
        <v>625.5</v>
      </c>
      <c r="I74" s="2" t="s">
        <v>20</v>
      </c>
      <c r="J74" s="6" t="s">
        <v>15</v>
      </c>
    </row>
    <row r="75" spans="1:10" x14ac:dyDescent="0.3">
      <c r="A75" s="5">
        <v>2025</v>
      </c>
      <c r="B75" s="2" t="s">
        <v>88</v>
      </c>
      <c r="C75" s="3">
        <v>45893</v>
      </c>
      <c r="D75" s="2" t="s">
        <v>16</v>
      </c>
      <c r="E75" s="2" t="s">
        <v>47</v>
      </c>
      <c r="F75" s="2" t="s">
        <v>50</v>
      </c>
      <c r="G75" s="2" t="s">
        <v>85</v>
      </c>
      <c r="H75" s="4">
        <v>585.9</v>
      </c>
      <c r="I75" s="2" t="s">
        <v>20</v>
      </c>
      <c r="J75" s="6" t="s">
        <v>15</v>
      </c>
    </row>
    <row r="76" spans="1:10" x14ac:dyDescent="0.3">
      <c r="A76" s="5">
        <v>2025</v>
      </c>
      <c r="B76" s="2" t="s">
        <v>88</v>
      </c>
      <c r="C76" s="3">
        <v>45873</v>
      </c>
      <c r="D76" s="2" t="s">
        <v>16</v>
      </c>
      <c r="E76" s="2" t="s">
        <v>52</v>
      </c>
      <c r="F76" s="2" t="s">
        <v>53</v>
      </c>
      <c r="G76" s="2" t="s">
        <v>86</v>
      </c>
      <c r="H76" s="4">
        <v>508.5</v>
      </c>
      <c r="I76" s="2" t="s">
        <v>28</v>
      </c>
      <c r="J76" s="6" t="s">
        <v>15</v>
      </c>
    </row>
    <row r="77" spans="1:10" x14ac:dyDescent="0.3">
      <c r="A77" s="5">
        <v>2025</v>
      </c>
      <c r="B77" s="2" t="s">
        <v>88</v>
      </c>
      <c r="C77" s="3">
        <v>45873</v>
      </c>
      <c r="D77" s="2" t="s">
        <v>16</v>
      </c>
      <c r="E77" s="2" t="s">
        <v>52</v>
      </c>
      <c r="F77" s="2" t="s">
        <v>55</v>
      </c>
      <c r="G77" s="2" t="s">
        <v>56</v>
      </c>
      <c r="H77" s="4">
        <v>236.7</v>
      </c>
      <c r="I77" s="2" t="s">
        <v>28</v>
      </c>
      <c r="J77" s="6" t="s">
        <v>15</v>
      </c>
    </row>
    <row r="78" spans="1:10" x14ac:dyDescent="0.3">
      <c r="A78" s="5">
        <v>2025</v>
      </c>
      <c r="B78" s="2" t="s">
        <v>88</v>
      </c>
      <c r="C78" s="3">
        <v>45892</v>
      </c>
      <c r="D78" s="2" t="s">
        <v>16</v>
      </c>
      <c r="E78" s="2" t="s">
        <v>52</v>
      </c>
      <c r="F78" s="2" t="s">
        <v>57</v>
      </c>
      <c r="G78" s="2" t="s">
        <v>58</v>
      </c>
      <c r="H78" s="4">
        <v>136.80000000000001</v>
      </c>
      <c r="I78" s="2" t="s">
        <v>20</v>
      </c>
      <c r="J78" s="6" t="s">
        <v>15</v>
      </c>
    </row>
    <row r="79" spans="1:10" x14ac:dyDescent="0.3">
      <c r="A79" s="5">
        <v>2025</v>
      </c>
      <c r="B79" s="2" t="s">
        <v>88</v>
      </c>
      <c r="C79" s="3">
        <v>45888</v>
      </c>
      <c r="D79" s="2" t="s">
        <v>16</v>
      </c>
      <c r="E79" s="2" t="s">
        <v>52</v>
      </c>
      <c r="F79" s="2" t="s">
        <v>59</v>
      </c>
      <c r="G79" s="2" t="s">
        <v>60</v>
      </c>
      <c r="H79" s="4">
        <v>121.5</v>
      </c>
      <c r="I79" s="2" t="s">
        <v>14</v>
      </c>
      <c r="J79" s="6" t="s">
        <v>15</v>
      </c>
    </row>
    <row r="80" spans="1:10" x14ac:dyDescent="0.3">
      <c r="A80" s="5">
        <v>2025</v>
      </c>
      <c r="B80" s="2" t="s">
        <v>88</v>
      </c>
      <c r="C80" s="3">
        <v>45889</v>
      </c>
      <c r="D80" s="2" t="s">
        <v>16</v>
      </c>
      <c r="E80" s="2" t="s">
        <v>61</v>
      </c>
      <c r="F80" s="2" t="s">
        <v>62</v>
      </c>
      <c r="G80" s="2" t="s">
        <v>63</v>
      </c>
      <c r="H80" s="4">
        <v>908.1</v>
      </c>
      <c r="I80" s="2" t="s">
        <v>20</v>
      </c>
      <c r="J80" s="6" t="s">
        <v>15</v>
      </c>
    </row>
    <row r="81" spans="1:10" x14ac:dyDescent="0.3">
      <c r="A81" s="5">
        <v>2025</v>
      </c>
      <c r="B81" s="2" t="s">
        <v>88</v>
      </c>
      <c r="C81" s="3">
        <v>45896</v>
      </c>
      <c r="D81" s="2" t="s">
        <v>16</v>
      </c>
      <c r="E81" s="2" t="s">
        <v>61</v>
      </c>
      <c r="F81" s="2" t="s">
        <v>64</v>
      </c>
      <c r="G81" s="2" t="s">
        <v>63</v>
      </c>
      <c r="H81" s="4">
        <v>1026.9000000000001</v>
      </c>
      <c r="I81" s="2" t="s">
        <v>28</v>
      </c>
      <c r="J81" s="6" t="s">
        <v>15</v>
      </c>
    </row>
    <row r="82" spans="1:10" x14ac:dyDescent="0.3">
      <c r="A82" s="5">
        <v>2025</v>
      </c>
      <c r="B82" s="2" t="s">
        <v>88</v>
      </c>
      <c r="C82" s="3">
        <v>45877</v>
      </c>
      <c r="D82" s="2" t="s">
        <v>16</v>
      </c>
      <c r="E82" s="2" t="s">
        <v>65</v>
      </c>
      <c r="F82" s="2" t="s">
        <v>66</v>
      </c>
      <c r="G82" s="2" t="s">
        <v>67</v>
      </c>
      <c r="H82" s="4">
        <v>3057.3</v>
      </c>
      <c r="I82" s="2" t="s">
        <v>20</v>
      </c>
      <c r="J82" s="6" t="s">
        <v>15</v>
      </c>
    </row>
    <row r="83" spans="1:10" x14ac:dyDescent="0.3">
      <c r="A83" s="5">
        <v>2025</v>
      </c>
      <c r="B83" s="2" t="s">
        <v>88</v>
      </c>
      <c r="C83" s="3">
        <v>45893</v>
      </c>
      <c r="D83" s="2" t="s">
        <v>68</v>
      </c>
      <c r="E83" s="2" t="s">
        <v>69</v>
      </c>
      <c r="F83" s="2" t="s">
        <v>70</v>
      </c>
      <c r="G83" s="2" t="s">
        <v>71</v>
      </c>
      <c r="H83" s="4">
        <v>3420</v>
      </c>
      <c r="I83" s="2" t="s">
        <v>72</v>
      </c>
      <c r="J83" s="6" t="s">
        <v>15</v>
      </c>
    </row>
    <row r="84" spans="1:10" x14ac:dyDescent="0.3">
      <c r="A84" s="5">
        <v>2025</v>
      </c>
      <c r="B84" s="2" t="s">
        <v>88</v>
      </c>
      <c r="C84" s="3">
        <v>45883</v>
      </c>
      <c r="D84" s="2" t="s">
        <v>68</v>
      </c>
      <c r="E84" s="2" t="s">
        <v>69</v>
      </c>
      <c r="F84" s="2" t="s">
        <v>73</v>
      </c>
      <c r="G84" s="2" t="s">
        <v>71</v>
      </c>
      <c r="H84" s="4">
        <v>2246</v>
      </c>
      <c r="I84" s="2" t="s">
        <v>72</v>
      </c>
      <c r="J84" s="6" t="s">
        <v>15</v>
      </c>
    </row>
    <row r="85" spans="1:10" x14ac:dyDescent="0.3">
      <c r="A85" s="5">
        <v>2025</v>
      </c>
      <c r="B85" s="2" t="s">
        <v>88</v>
      </c>
      <c r="C85" s="3">
        <v>45885</v>
      </c>
      <c r="D85" s="2" t="s">
        <v>68</v>
      </c>
      <c r="E85" s="2" t="s">
        <v>69</v>
      </c>
      <c r="F85" s="2" t="s">
        <v>74</v>
      </c>
      <c r="G85" s="2" t="s">
        <v>75</v>
      </c>
      <c r="H85" s="4">
        <v>1270</v>
      </c>
      <c r="I85" s="2" t="s">
        <v>72</v>
      </c>
      <c r="J85" s="6" t="s">
        <v>15</v>
      </c>
    </row>
    <row r="86" spans="1:10" x14ac:dyDescent="0.3">
      <c r="A86" s="5">
        <v>2025</v>
      </c>
      <c r="B86" s="2" t="s">
        <v>88</v>
      </c>
      <c r="C86" s="3">
        <v>45895</v>
      </c>
      <c r="D86" s="2" t="s">
        <v>68</v>
      </c>
      <c r="E86" s="2" t="s">
        <v>69</v>
      </c>
      <c r="F86" s="2" t="s">
        <v>76</v>
      </c>
      <c r="G86" s="2" t="s">
        <v>77</v>
      </c>
      <c r="H86" s="4">
        <v>742</v>
      </c>
      <c r="I86" s="2" t="s">
        <v>72</v>
      </c>
      <c r="J86" s="6" t="s">
        <v>15</v>
      </c>
    </row>
    <row r="87" spans="1:10" x14ac:dyDescent="0.3">
      <c r="A87" s="5">
        <v>2025</v>
      </c>
      <c r="B87" s="2" t="s">
        <v>89</v>
      </c>
      <c r="C87" s="3">
        <v>45901</v>
      </c>
      <c r="D87" s="2" t="s">
        <v>11</v>
      </c>
      <c r="E87" s="2" t="s">
        <v>12</v>
      </c>
      <c r="F87" s="2" t="s">
        <v>12</v>
      </c>
      <c r="G87" s="2" t="s">
        <v>13</v>
      </c>
      <c r="H87" s="4">
        <v>33782</v>
      </c>
      <c r="I87" s="2" t="s">
        <v>14</v>
      </c>
      <c r="J87" s="6" t="s">
        <v>15</v>
      </c>
    </row>
    <row r="88" spans="1:10" x14ac:dyDescent="0.3">
      <c r="A88" s="5">
        <v>2025</v>
      </c>
      <c r="B88" s="2" t="s">
        <v>89</v>
      </c>
      <c r="C88" s="3">
        <v>45907</v>
      </c>
      <c r="D88" s="2" t="s">
        <v>16</v>
      </c>
      <c r="E88" s="2" t="s">
        <v>17</v>
      </c>
      <c r="F88" s="2" t="s">
        <v>18</v>
      </c>
      <c r="G88" s="2" t="s">
        <v>19</v>
      </c>
      <c r="H88" s="4">
        <v>8464.5</v>
      </c>
      <c r="I88" s="2" t="s">
        <v>28</v>
      </c>
      <c r="J88" s="6" t="s">
        <v>15</v>
      </c>
    </row>
    <row r="89" spans="1:10" x14ac:dyDescent="0.3">
      <c r="A89" s="5">
        <v>2025</v>
      </c>
      <c r="B89" s="2" t="s">
        <v>89</v>
      </c>
      <c r="C89" s="3">
        <v>45909</v>
      </c>
      <c r="D89" s="2" t="s">
        <v>16</v>
      </c>
      <c r="E89" s="2" t="s">
        <v>17</v>
      </c>
      <c r="F89" s="2" t="s">
        <v>21</v>
      </c>
      <c r="G89" s="2" t="s">
        <v>22</v>
      </c>
      <c r="H89" s="4">
        <v>569.70000000000005</v>
      </c>
      <c r="I89" s="2" t="s">
        <v>28</v>
      </c>
      <c r="J89" s="6" t="s">
        <v>15</v>
      </c>
    </row>
    <row r="90" spans="1:10" x14ac:dyDescent="0.3">
      <c r="A90" s="5">
        <v>2025</v>
      </c>
      <c r="B90" s="2" t="s">
        <v>89</v>
      </c>
      <c r="C90" s="3">
        <v>45927</v>
      </c>
      <c r="D90" s="2" t="s">
        <v>16</v>
      </c>
      <c r="E90" s="2" t="s">
        <v>23</v>
      </c>
      <c r="F90" s="2" t="s">
        <v>24</v>
      </c>
      <c r="G90" s="2" t="s">
        <v>25</v>
      </c>
      <c r="H90" s="4">
        <v>2169.9</v>
      </c>
      <c r="I90" s="2" t="s">
        <v>20</v>
      </c>
      <c r="J90" s="6" t="s">
        <v>15</v>
      </c>
    </row>
    <row r="91" spans="1:10" x14ac:dyDescent="0.3">
      <c r="A91" s="5">
        <v>2025</v>
      </c>
      <c r="B91" s="2" t="s">
        <v>89</v>
      </c>
      <c r="C91" s="3">
        <v>45903</v>
      </c>
      <c r="D91" s="2" t="s">
        <v>16</v>
      </c>
      <c r="E91" s="2" t="s">
        <v>23</v>
      </c>
      <c r="F91" s="2" t="s">
        <v>26</v>
      </c>
      <c r="G91" s="2" t="s">
        <v>27</v>
      </c>
      <c r="H91" s="4">
        <v>1107.9000000000001</v>
      </c>
      <c r="I91" s="2" t="s">
        <v>14</v>
      </c>
      <c r="J91" s="6" t="s">
        <v>15</v>
      </c>
    </row>
    <row r="92" spans="1:10" x14ac:dyDescent="0.3">
      <c r="A92" s="5">
        <v>2025</v>
      </c>
      <c r="B92" s="2" t="s">
        <v>89</v>
      </c>
      <c r="C92" s="3">
        <v>45928</v>
      </c>
      <c r="D92" s="2" t="s">
        <v>16</v>
      </c>
      <c r="E92" s="2" t="s">
        <v>23</v>
      </c>
      <c r="F92" s="2" t="s">
        <v>29</v>
      </c>
      <c r="G92" s="2" t="s">
        <v>80</v>
      </c>
      <c r="H92" s="4">
        <v>813.6</v>
      </c>
      <c r="I92" s="2" t="s">
        <v>20</v>
      </c>
      <c r="J92" s="6" t="s">
        <v>15</v>
      </c>
    </row>
    <row r="93" spans="1:10" x14ac:dyDescent="0.3">
      <c r="A93" s="5">
        <v>2025</v>
      </c>
      <c r="B93" s="2" t="s">
        <v>89</v>
      </c>
      <c r="C93" s="3">
        <v>45926</v>
      </c>
      <c r="D93" s="2" t="s">
        <v>16</v>
      </c>
      <c r="E93" s="2" t="s">
        <v>31</v>
      </c>
      <c r="F93" s="2" t="s">
        <v>32</v>
      </c>
      <c r="G93" s="2" t="s">
        <v>33</v>
      </c>
      <c r="H93" s="4">
        <v>909.9</v>
      </c>
      <c r="I93" s="2" t="s">
        <v>20</v>
      </c>
      <c r="J93" s="6" t="s">
        <v>15</v>
      </c>
    </row>
    <row r="94" spans="1:10" x14ac:dyDescent="0.3">
      <c r="A94" s="5">
        <v>2025</v>
      </c>
      <c r="B94" s="2" t="s">
        <v>89</v>
      </c>
      <c r="C94" s="3">
        <v>45915</v>
      </c>
      <c r="D94" s="2" t="s">
        <v>16</v>
      </c>
      <c r="E94" s="2" t="s">
        <v>31</v>
      </c>
      <c r="F94" s="2" t="s">
        <v>34</v>
      </c>
      <c r="G94" s="2" t="s">
        <v>35</v>
      </c>
      <c r="H94" s="4">
        <v>514.79999999999995</v>
      </c>
      <c r="I94" s="2" t="s">
        <v>28</v>
      </c>
      <c r="J94" s="6" t="s">
        <v>15</v>
      </c>
    </row>
    <row r="95" spans="1:10" x14ac:dyDescent="0.3">
      <c r="A95" s="5">
        <v>2025</v>
      </c>
      <c r="B95" s="2" t="s">
        <v>89</v>
      </c>
      <c r="C95" s="3">
        <v>45908</v>
      </c>
      <c r="D95" s="2" t="s">
        <v>16</v>
      </c>
      <c r="E95" s="2" t="s">
        <v>31</v>
      </c>
      <c r="F95" s="2" t="s">
        <v>36</v>
      </c>
      <c r="G95" s="2" t="s">
        <v>82</v>
      </c>
      <c r="H95" s="4">
        <v>329.4</v>
      </c>
      <c r="I95" s="2" t="s">
        <v>20</v>
      </c>
      <c r="J95" s="6" t="s">
        <v>15</v>
      </c>
    </row>
    <row r="96" spans="1:10" x14ac:dyDescent="0.3">
      <c r="A96" s="5">
        <v>2025</v>
      </c>
      <c r="B96" s="2" t="s">
        <v>89</v>
      </c>
      <c r="C96" s="3">
        <v>45907</v>
      </c>
      <c r="D96" s="2" t="s">
        <v>16</v>
      </c>
      <c r="E96" s="2" t="s">
        <v>38</v>
      </c>
      <c r="F96" s="2" t="s">
        <v>39</v>
      </c>
      <c r="G96" s="2" t="s">
        <v>40</v>
      </c>
      <c r="H96" s="4">
        <v>612</v>
      </c>
      <c r="I96" s="2" t="s">
        <v>20</v>
      </c>
      <c r="J96" s="6" t="s">
        <v>15</v>
      </c>
    </row>
    <row r="97" spans="1:10" x14ac:dyDescent="0.3">
      <c r="A97" s="5">
        <v>2025</v>
      </c>
      <c r="B97" s="2" t="s">
        <v>89</v>
      </c>
      <c r="C97" s="3">
        <v>45914</v>
      </c>
      <c r="D97" s="2" t="s">
        <v>16</v>
      </c>
      <c r="E97" s="2" t="s">
        <v>38</v>
      </c>
      <c r="F97" s="2" t="s">
        <v>41</v>
      </c>
      <c r="G97" s="2" t="s">
        <v>42</v>
      </c>
      <c r="H97" s="4">
        <v>284.39999999999998</v>
      </c>
      <c r="I97" s="2" t="s">
        <v>28</v>
      </c>
      <c r="J97" s="6" t="s">
        <v>15</v>
      </c>
    </row>
    <row r="98" spans="1:10" x14ac:dyDescent="0.3">
      <c r="A98" s="5">
        <v>2025</v>
      </c>
      <c r="B98" s="2" t="s">
        <v>89</v>
      </c>
      <c r="C98" s="3">
        <v>45911</v>
      </c>
      <c r="D98" s="2" t="s">
        <v>16</v>
      </c>
      <c r="E98" s="2" t="s">
        <v>38</v>
      </c>
      <c r="F98" s="2" t="s">
        <v>43</v>
      </c>
      <c r="G98" s="2" t="s">
        <v>44</v>
      </c>
      <c r="H98" s="4">
        <v>209.7</v>
      </c>
      <c r="I98" s="2" t="s">
        <v>14</v>
      </c>
      <c r="J98" s="6" t="s">
        <v>15</v>
      </c>
    </row>
    <row r="99" spans="1:10" x14ac:dyDescent="0.3">
      <c r="A99" s="5">
        <v>2025</v>
      </c>
      <c r="B99" s="2" t="s">
        <v>89</v>
      </c>
      <c r="C99" s="3">
        <v>45925</v>
      </c>
      <c r="D99" s="2" t="s">
        <v>16</v>
      </c>
      <c r="E99" s="2" t="s">
        <v>38</v>
      </c>
      <c r="F99" s="2" t="s">
        <v>45</v>
      </c>
      <c r="G99" s="2" t="s">
        <v>46</v>
      </c>
      <c r="H99" s="4">
        <v>238.5</v>
      </c>
      <c r="I99" s="2" t="s">
        <v>20</v>
      </c>
      <c r="J99" s="6" t="s">
        <v>15</v>
      </c>
    </row>
    <row r="100" spans="1:10" x14ac:dyDescent="0.3">
      <c r="A100" s="5">
        <v>2025</v>
      </c>
      <c r="B100" s="2" t="s">
        <v>89</v>
      </c>
      <c r="C100" s="3">
        <v>45908</v>
      </c>
      <c r="D100" s="2" t="s">
        <v>16</v>
      </c>
      <c r="E100" s="2" t="s">
        <v>47</v>
      </c>
      <c r="F100" s="2" t="s">
        <v>48</v>
      </c>
      <c r="G100" s="2" t="s">
        <v>84</v>
      </c>
      <c r="H100" s="4">
        <v>690.3</v>
      </c>
      <c r="I100" s="2" t="s">
        <v>20</v>
      </c>
      <c r="J100" s="6" t="s">
        <v>15</v>
      </c>
    </row>
    <row r="101" spans="1:10" x14ac:dyDescent="0.3">
      <c r="A101" s="5">
        <v>2025</v>
      </c>
      <c r="B101" s="2" t="s">
        <v>89</v>
      </c>
      <c r="C101" s="3">
        <v>45903</v>
      </c>
      <c r="D101" s="2" t="s">
        <v>16</v>
      </c>
      <c r="E101" s="2" t="s">
        <v>47</v>
      </c>
      <c r="F101" s="2" t="s">
        <v>50</v>
      </c>
      <c r="G101" s="2" t="s">
        <v>85</v>
      </c>
      <c r="H101" s="4">
        <v>452.7</v>
      </c>
      <c r="I101" s="2" t="s">
        <v>14</v>
      </c>
      <c r="J101" s="6" t="s">
        <v>15</v>
      </c>
    </row>
    <row r="102" spans="1:10" x14ac:dyDescent="0.3">
      <c r="A102" s="5">
        <v>2025</v>
      </c>
      <c r="B102" s="2" t="s">
        <v>89</v>
      </c>
      <c r="C102" s="3">
        <v>45912</v>
      </c>
      <c r="D102" s="2" t="s">
        <v>16</v>
      </c>
      <c r="E102" s="2" t="s">
        <v>52</v>
      </c>
      <c r="F102" s="2" t="s">
        <v>53</v>
      </c>
      <c r="G102" s="2" t="s">
        <v>86</v>
      </c>
      <c r="H102" s="4">
        <v>315</v>
      </c>
      <c r="I102" s="2" t="s">
        <v>20</v>
      </c>
      <c r="J102" s="6" t="s">
        <v>15</v>
      </c>
    </row>
    <row r="103" spans="1:10" x14ac:dyDescent="0.3">
      <c r="A103" s="5">
        <v>2025</v>
      </c>
      <c r="B103" s="2" t="s">
        <v>89</v>
      </c>
      <c r="C103" s="3">
        <v>45920</v>
      </c>
      <c r="D103" s="2" t="s">
        <v>16</v>
      </c>
      <c r="E103" s="2" t="s">
        <v>52</v>
      </c>
      <c r="F103" s="2" t="s">
        <v>55</v>
      </c>
      <c r="G103" s="2" t="s">
        <v>87</v>
      </c>
      <c r="H103" s="4">
        <v>181.8</v>
      </c>
      <c r="I103" s="2" t="s">
        <v>14</v>
      </c>
      <c r="J103" s="6" t="s">
        <v>15</v>
      </c>
    </row>
    <row r="104" spans="1:10" x14ac:dyDescent="0.3">
      <c r="A104" s="5">
        <v>2025</v>
      </c>
      <c r="B104" s="2" t="s">
        <v>89</v>
      </c>
      <c r="C104" s="3">
        <v>45918</v>
      </c>
      <c r="D104" s="2" t="s">
        <v>16</v>
      </c>
      <c r="E104" s="2" t="s">
        <v>52</v>
      </c>
      <c r="F104" s="2" t="s">
        <v>57</v>
      </c>
      <c r="G104" s="2" t="s">
        <v>58</v>
      </c>
      <c r="H104" s="4">
        <v>134.1</v>
      </c>
      <c r="I104" s="2" t="s">
        <v>20</v>
      </c>
      <c r="J104" s="6" t="s">
        <v>15</v>
      </c>
    </row>
    <row r="105" spans="1:10" x14ac:dyDescent="0.3">
      <c r="A105" s="5">
        <v>2025</v>
      </c>
      <c r="B105" s="2" t="s">
        <v>89</v>
      </c>
      <c r="C105" s="3">
        <v>45918</v>
      </c>
      <c r="D105" s="2" t="s">
        <v>16</v>
      </c>
      <c r="E105" s="2" t="s">
        <v>52</v>
      </c>
      <c r="F105" s="2" t="s">
        <v>59</v>
      </c>
      <c r="G105" s="2" t="s">
        <v>60</v>
      </c>
      <c r="H105" s="4">
        <v>492.3</v>
      </c>
      <c r="I105" s="2" t="s">
        <v>20</v>
      </c>
      <c r="J105" s="6" t="s">
        <v>15</v>
      </c>
    </row>
    <row r="106" spans="1:10" x14ac:dyDescent="0.3">
      <c r="A106" s="5">
        <v>2025</v>
      </c>
      <c r="B106" s="2" t="s">
        <v>89</v>
      </c>
      <c r="C106" s="3">
        <v>45904</v>
      </c>
      <c r="D106" s="2" t="s">
        <v>16</v>
      </c>
      <c r="E106" s="2" t="s">
        <v>61</v>
      </c>
      <c r="F106" s="2" t="s">
        <v>62</v>
      </c>
      <c r="G106" s="2" t="s">
        <v>63</v>
      </c>
      <c r="H106" s="4">
        <v>748.8</v>
      </c>
      <c r="I106" s="2" t="s">
        <v>14</v>
      </c>
      <c r="J106" s="6" t="s">
        <v>15</v>
      </c>
    </row>
    <row r="107" spans="1:10" x14ac:dyDescent="0.3">
      <c r="A107" s="5">
        <v>2025</v>
      </c>
      <c r="B107" s="2" t="s">
        <v>89</v>
      </c>
      <c r="C107" s="3">
        <v>45909</v>
      </c>
      <c r="D107" s="2" t="s">
        <v>16</v>
      </c>
      <c r="E107" s="2" t="s">
        <v>61</v>
      </c>
      <c r="F107" s="2" t="s">
        <v>64</v>
      </c>
      <c r="G107" s="2" t="s">
        <v>63</v>
      </c>
      <c r="H107" s="4">
        <v>863.1</v>
      </c>
      <c r="I107" s="2" t="s">
        <v>20</v>
      </c>
      <c r="J107" s="6" t="s">
        <v>15</v>
      </c>
    </row>
    <row r="108" spans="1:10" x14ac:dyDescent="0.3">
      <c r="A108" s="5">
        <v>2025</v>
      </c>
      <c r="B108" s="2" t="s">
        <v>89</v>
      </c>
      <c r="C108" s="3">
        <v>45920</v>
      </c>
      <c r="D108" s="2" t="s">
        <v>16</v>
      </c>
      <c r="E108" s="2" t="s">
        <v>65</v>
      </c>
      <c r="F108" s="2" t="s">
        <v>66</v>
      </c>
      <c r="G108" s="2" t="s">
        <v>67</v>
      </c>
      <c r="H108" s="4">
        <v>2569.5</v>
      </c>
      <c r="I108" s="2" t="s">
        <v>14</v>
      </c>
      <c r="J108" s="6" t="s">
        <v>15</v>
      </c>
    </row>
    <row r="109" spans="1:10" x14ac:dyDescent="0.3">
      <c r="A109" s="5">
        <v>2025</v>
      </c>
      <c r="B109" s="2" t="s">
        <v>89</v>
      </c>
      <c r="C109" s="3">
        <v>45922</v>
      </c>
      <c r="D109" s="2" t="s">
        <v>68</v>
      </c>
      <c r="E109" s="2" t="s">
        <v>69</v>
      </c>
      <c r="F109" s="2" t="s">
        <v>70</v>
      </c>
      <c r="G109" s="2" t="s">
        <v>71</v>
      </c>
      <c r="H109" s="4">
        <v>2877</v>
      </c>
      <c r="I109" s="2" t="s">
        <v>72</v>
      </c>
      <c r="J109" s="6" t="s">
        <v>15</v>
      </c>
    </row>
    <row r="110" spans="1:10" x14ac:dyDescent="0.3">
      <c r="A110" s="5">
        <v>2025</v>
      </c>
      <c r="B110" s="2" t="s">
        <v>89</v>
      </c>
      <c r="C110" s="3">
        <v>45922</v>
      </c>
      <c r="D110" s="2" t="s">
        <v>68</v>
      </c>
      <c r="E110" s="2" t="s">
        <v>69</v>
      </c>
      <c r="F110" s="2" t="s">
        <v>73</v>
      </c>
      <c r="G110" s="2" t="s">
        <v>71</v>
      </c>
      <c r="H110" s="4">
        <v>1891</v>
      </c>
      <c r="I110" s="2" t="s">
        <v>72</v>
      </c>
      <c r="J110" s="6" t="s">
        <v>15</v>
      </c>
    </row>
    <row r="111" spans="1:10" x14ac:dyDescent="0.3">
      <c r="A111" s="5">
        <v>2025</v>
      </c>
      <c r="B111" s="2" t="s">
        <v>89</v>
      </c>
      <c r="C111" s="3">
        <v>45916</v>
      </c>
      <c r="D111" s="2" t="s">
        <v>68</v>
      </c>
      <c r="E111" s="2" t="s">
        <v>69</v>
      </c>
      <c r="F111" s="2" t="s">
        <v>74</v>
      </c>
      <c r="G111" s="2" t="s">
        <v>75</v>
      </c>
      <c r="H111" s="4">
        <v>1091</v>
      </c>
      <c r="I111" s="2" t="s">
        <v>72</v>
      </c>
      <c r="J111" s="6" t="s">
        <v>15</v>
      </c>
    </row>
    <row r="112" spans="1:10" x14ac:dyDescent="0.3">
      <c r="A112" s="5">
        <v>2025</v>
      </c>
      <c r="B112" s="2" t="s">
        <v>89</v>
      </c>
      <c r="C112" s="3">
        <v>45911</v>
      </c>
      <c r="D112" s="2" t="s">
        <v>68</v>
      </c>
      <c r="E112" s="2" t="s">
        <v>69</v>
      </c>
      <c r="F112" s="2" t="s">
        <v>76</v>
      </c>
      <c r="G112" s="2" t="s">
        <v>77</v>
      </c>
      <c r="H112" s="4">
        <v>637</v>
      </c>
      <c r="I112" s="2" t="s">
        <v>72</v>
      </c>
      <c r="J112" s="6" t="s">
        <v>15</v>
      </c>
    </row>
    <row r="113" spans="1:10" x14ac:dyDescent="0.3">
      <c r="A113" s="5">
        <v>2025</v>
      </c>
      <c r="B113" s="2" t="s">
        <v>90</v>
      </c>
      <c r="C113" s="3">
        <v>45931</v>
      </c>
      <c r="D113" s="2" t="s">
        <v>11</v>
      </c>
      <c r="E113" s="2" t="s">
        <v>12</v>
      </c>
      <c r="F113" s="2" t="s">
        <v>12</v>
      </c>
      <c r="G113" s="2" t="s">
        <v>13</v>
      </c>
      <c r="H113" s="4">
        <v>35296</v>
      </c>
      <c r="I113" s="2" t="s">
        <v>14</v>
      </c>
      <c r="J113" s="6" t="s">
        <v>15</v>
      </c>
    </row>
    <row r="114" spans="1:10" x14ac:dyDescent="0.3">
      <c r="A114" s="5">
        <v>2025</v>
      </c>
      <c r="B114" s="2" t="s">
        <v>90</v>
      </c>
      <c r="C114" s="3">
        <v>45935</v>
      </c>
      <c r="D114" s="2" t="s">
        <v>16</v>
      </c>
      <c r="E114" s="2" t="s">
        <v>17</v>
      </c>
      <c r="F114" s="2" t="s">
        <v>18</v>
      </c>
      <c r="G114" s="2" t="s">
        <v>19</v>
      </c>
      <c r="H114" s="4">
        <v>8986.5</v>
      </c>
      <c r="I114" s="2" t="s">
        <v>14</v>
      </c>
      <c r="J114" s="6" t="s">
        <v>15</v>
      </c>
    </row>
    <row r="115" spans="1:10" x14ac:dyDescent="0.3">
      <c r="A115" s="5">
        <v>2025</v>
      </c>
      <c r="B115" s="2" t="s">
        <v>90</v>
      </c>
      <c r="C115" s="3">
        <v>45938</v>
      </c>
      <c r="D115" s="2" t="s">
        <v>16</v>
      </c>
      <c r="E115" s="2" t="s">
        <v>17</v>
      </c>
      <c r="F115" s="2" t="s">
        <v>21</v>
      </c>
      <c r="G115" s="2" t="s">
        <v>22</v>
      </c>
      <c r="H115" s="4">
        <v>754.2</v>
      </c>
      <c r="I115" s="2" t="s">
        <v>20</v>
      </c>
      <c r="J115" s="6" t="s">
        <v>15</v>
      </c>
    </row>
    <row r="116" spans="1:10" x14ac:dyDescent="0.3">
      <c r="A116" s="5">
        <v>2025</v>
      </c>
      <c r="B116" s="2" t="s">
        <v>90</v>
      </c>
      <c r="C116" s="3">
        <v>45943</v>
      </c>
      <c r="D116" s="2" t="s">
        <v>16</v>
      </c>
      <c r="E116" s="2" t="s">
        <v>23</v>
      </c>
      <c r="F116" s="2" t="s">
        <v>24</v>
      </c>
      <c r="G116" s="2" t="s">
        <v>51</v>
      </c>
      <c r="H116" s="4">
        <v>2585.6999999999998</v>
      </c>
      <c r="I116" s="2" t="s">
        <v>20</v>
      </c>
      <c r="J116" s="6" t="s">
        <v>15</v>
      </c>
    </row>
    <row r="117" spans="1:10" x14ac:dyDescent="0.3">
      <c r="A117" s="5">
        <v>2025</v>
      </c>
      <c r="B117" s="2" t="s">
        <v>90</v>
      </c>
      <c r="C117" s="3">
        <v>45943</v>
      </c>
      <c r="D117" s="2" t="s">
        <v>16</v>
      </c>
      <c r="E117" s="2" t="s">
        <v>23</v>
      </c>
      <c r="F117" s="2" t="s">
        <v>26</v>
      </c>
      <c r="G117" s="2" t="s">
        <v>30</v>
      </c>
      <c r="H117" s="4">
        <v>1004.4</v>
      </c>
      <c r="I117" s="2" t="s">
        <v>20</v>
      </c>
      <c r="J117" s="6" t="s">
        <v>15</v>
      </c>
    </row>
    <row r="118" spans="1:10" x14ac:dyDescent="0.3">
      <c r="A118" s="5">
        <v>2025</v>
      </c>
      <c r="B118" s="2" t="s">
        <v>90</v>
      </c>
      <c r="C118" s="3">
        <v>45946</v>
      </c>
      <c r="D118" s="2" t="s">
        <v>16</v>
      </c>
      <c r="E118" s="2" t="s">
        <v>23</v>
      </c>
      <c r="F118" s="2" t="s">
        <v>29</v>
      </c>
      <c r="G118" s="2" t="s">
        <v>30</v>
      </c>
      <c r="H118" s="4">
        <v>645.29999999999995</v>
      </c>
      <c r="I118" s="2" t="s">
        <v>14</v>
      </c>
      <c r="J118" s="6" t="s">
        <v>15</v>
      </c>
    </row>
    <row r="119" spans="1:10" x14ac:dyDescent="0.3">
      <c r="A119" s="5">
        <v>2025</v>
      </c>
      <c r="B119" s="2" t="s">
        <v>90</v>
      </c>
      <c r="C119" s="3">
        <v>45957</v>
      </c>
      <c r="D119" s="2" t="s">
        <v>16</v>
      </c>
      <c r="E119" s="2" t="s">
        <v>31</v>
      </c>
      <c r="F119" s="2" t="s">
        <v>32</v>
      </c>
      <c r="G119" s="2" t="s">
        <v>81</v>
      </c>
      <c r="H119" s="4">
        <v>854.1</v>
      </c>
      <c r="I119" s="2" t="s">
        <v>14</v>
      </c>
      <c r="J119" s="6" t="s">
        <v>15</v>
      </c>
    </row>
    <row r="120" spans="1:10" x14ac:dyDescent="0.3">
      <c r="A120" s="5">
        <v>2025</v>
      </c>
      <c r="B120" s="2" t="s">
        <v>90</v>
      </c>
      <c r="C120" s="3">
        <v>45932</v>
      </c>
      <c r="D120" s="2" t="s">
        <v>16</v>
      </c>
      <c r="E120" s="2" t="s">
        <v>31</v>
      </c>
      <c r="F120" s="2" t="s">
        <v>34</v>
      </c>
      <c r="G120" s="2" t="s">
        <v>35</v>
      </c>
      <c r="H120" s="4">
        <v>514.79999999999995</v>
      </c>
      <c r="I120" s="2" t="s">
        <v>14</v>
      </c>
      <c r="J120" s="6" t="s">
        <v>15</v>
      </c>
    </row>
    <row r="121" spans="1:10" x14ac:dyDescent="0.3">
      <c r="A121" s="5">
        <v>2025</v>
      </c>
      <c r="B121" s="2" t="s">
        <v>90</v>
      </c>
      <c r="C121" s="3">
        <v>45935</v>
      </c>
      <c r="D121" s="2" t="s">
        <v>16</v>
      </c>
      <c r="E121" s="2" t="s">
        <v>31</v>
      </c>
      <c r="F121" s="2" t="s">
        <v>36</v>
      </c>
      <c r="G121" s="2" t="s">
        <v>37</v>
      </c>
      <c r="H121" s="4">
        <v>315</v>
      </c>
      <c r="I121" s="2" t="s">
        <v>28</v>
      </c>
      <c r="J121" s="6" t="s">
        <v>15</v>
      </c>
    </row>
    <row r="122" spans="1:10" x14ac:dyDescent="0.3">
      <c r="A122" s="5">
        <v>2025</v>
      </c>
      <c r="B122" s="2" t="s">
        <v>90</v>
      </c>
      <c r="C122" s="3">
        <v>45935</v>
      </c>
      <c r="D122" s="2" t="s">
        <v>16</v>
      </c>
      <c r="E122" s="2" t="s">
        <v>38</v>
      </c>
      <c r="F122" s="2" t="s">
        <v>39</v>
      </c>
      <c r="G122" s="2" t="s">
        <v>40</v>
      </c>
      <c r="H122" s="4">
        <v>774.9</v>
      </c>
      <c r="I122" s="2" t="s">
        <v>14</v>
      </c>
      <c r="J122" s="6" t="s">
        <v>15</v>
      </c>
    </row>
    <row r="123" spans="1:10" x14ac:dyDescent="0.3">
      <c r="A123" s="5">
        <v>2025</v>
      </c>
      <c r="B123" s="2" t="s">
        <v>90</v>
      </c>
      <c r="C123" s="3">
        <v>45949</v>
      </c>
      <c r="D123" s="2" t="s">
        <v>16</v>
      </c>
      <c r="E123" s="2" t="s">
        <v>38</v>
      </c>
      <c r="F123" s="2" t="s">
        <v>41</v>
      </c>
      <c r="G123" s="2" t="s">
        <v>83</v>
      </c>
      <c r="H123" s="4">
        <v>308.7</v>
      </c>
      <c r="I123" s="2" t="s">
        <v>28</v>
      </c>
      <c r="J123" s="6" t="s">
        <v>15</v>
      </c>
    </row>
    <row r="124" spans="1:10" x14ac:dyDescent="0.3">
      <c r="A124" s="5">
        <v>2025</v>
      </c>
      <c r="B124" s="2" t="s">
        <v>90</v>
      </c>
      <c r="C124" s="3">
        <v>45941</v>
      </c>
      <c r="D124" s="2" t="s">
        <v>16</v>
      </c>
      <c r="E124" s="2" t="s">
        <v>38</v>
      </c>
      <c r="F124" s="2" t="s">
        <v>43</v>
      </c>
      <c r="G124" s="2" t="s">
        <v>83</v>
      </c>
      <c r="H124" s="4">
        <v>226.8</v>
      </c>
      <c r="I124" s="2" t="s">
        <v>14</v>
      </c>
      <c r="J124" s="6" t="s">
        <v>15</v>
      </c>
    </row>
    <row r="125" spans="1:10" x14ac:dyDescent="0.3">
      <c r="A125" s="5">
        <v>2025</v>
      </c>
      <c r="B125" s="2" t="s">
        <v>90</v>
      </c>
      <c r="C125" s="3">
        <v>45942</v>
      </c>
      <c r="D125" s="2" t="s">
        <v>16</v>
      </c>
      <c r="E125" s="2" t="s">
        <v>38</v>
      </c>
      <c r="F125" s="2" t="s">
        <v>45</v>
      </c>
      <c r="G125" s="2" t="s">
        <v>46</v>
      </c>
      <c r="H125" s="4">
        <v>285.3</v>
      </c>
      <c r="I125" s="2" t="s">
        <v>14</v>
      </c>
      <c r="J125" s="6" t="s">
        <v>15</v>
      </c>
    </row>
    <row r="126" spans="1:10" x14ac:dyDescent="0.3">
      <c r="A126" s="5">
        <v>2025</v>
      </c>
      <c r="B126" s="2" t="s">
        <v>90</v>
      </c>
      <c r="C126" s="3">
        <v>45952</v>
      </c>
      <c r="D126" s="2" t="s">
        <v>16</v>
      </c>
      <c r="E126" s="2" t="s">
        <v>47</v>
      </c>
      <c r="F126" s="2" t="s">
        <v>48</v>
      </c>
      <c r="G126" s="2" t="s">
        <v>84</v>
      </c>
      <c r="H126" s="4">
        <v>898.2</v>
      </c>
      <c r="I126" s="2" t="s">
        <v>14</v>
      </c>
      <c r="J126" s="6" t="s">
        <v>15</v>
      </c>
    </row>
    <row r="127" spans="1:10" x14ac:dyDescent="0.3">
      <c r="A127" s="5">
        <v>2025</v>
      </c>
      <c r="B127" s="2" t="s">
        <v>90</v>
      </c>
      <c r="C127" s="3">
        <v>45947</v>
      </c>
      <c r="D127" s="2" t="s">
        <v>16</v>
      </c>
      <c r="E127" s="2" t="s">
        <v>47</v>
      </c>
      <c r="F127" s="2" t="s">
        <v>50</v>
      </c>
      <c r="G127" s="2" t="s">
        <v>51</v>
      </c>
      <c r="H127" s="4">
        <v>416.7</v>
      </c>
      <c r="I127" s="2" t="s">
        <v>20</v>
      </c>
      <c r="J127" s="6" t="s">
        <v>15</v>
      </c>
    </row>
    <row r="128" spans="1:10" x14ac:dyDescent="0.3">
      <c r="A128" s="5">
        <v>2025</v>
      </c>
      <c r="B128" s="2" t="s">
        <v>90</v>
      </c>
      <c r="C128" s="3">
        <v>45934</v>
      </c>
      <c r="D128" s="2" t="s">
        <v>16</v>
      </c>
      <c r="E128" s="2" t="s">
        <v>52</v>
      </c>
      <c r="F128" s="2" t="s">
        <v>53</v>
      </c>
      <c r="G128" s="2" t="s">
        <v>54</v>
      </c>
      <c r="H128" s="4">
        <v>164.7</v>
      </c>
      <c r="I128" s="2" t="s">
        <v>28</v>
      </c>
      <c r="J128" s="6" t="s">
        <v>15</v>
      </c>
    </row>
    <row r="129" spans="1:10" x14ac:dyDescent="0.3">
      <c r="A129" s="5">
        <v>2025</v>
      </c>
      <c r="B129" s="2" t="s">
        <v>90</v>
      </c>
      <c r="C129" s="3">
        <v>45933</v>
      </c>
      <c r="D129" s="2" t="s">
        <v>16</v>
      </c>
      <c r="E129" s="2" t="s">
        <v>52</v>
      </c>
      <c r="F129" s="2" t="s">
        <v>55</v>
      </c>
      <c r="G129" s="2" t="s">
        <v>56</v>
      </c>
      <c r="H129" s="4">
        <v>193.5</v>
      </c>
      <c r="I129" s="2" t="s">
        <v>28</v>
      </c>
      <c r="J129" s="6" t="s">
        <v>15</v>
      </c>
    </row>
    <row r="130" spans="1:10" x14ac:dyDescent="0.3">
      <c r="A130" s="5">
        <v>2025</v>
      </c>
      <c r="B130" s="2" t="s">
        <v>90</v>
      </c>
      <c r="C130" s="3">
        <v>45956</v>
      </c>
      <c r="D130" s="2" t="s">
        <v>16</v>
      </c>
      <c r="E130" s="2" t="s">
        <v>52</v>
      </c>
      <c r="F130" s="2" t="s">
        <v>57</v>
      </c>
      <c r="G130" s="2" t="s">
        <v>58</v>
      </c>
      <c r="H130" s="4">
        <v>301.5</v>
      </c>
      <c r="I130" s="2" t="s">
        <v>14</v>
      </c>
      <c r="J130" s="6" t="s">
        <v>15</v>
      </c>
    </row>
    <row r="131" spans="1:10" x14ac:dyDescent="0.3">
      <c r="A131" s="5">
        <v>2025</v>
      </c>
      <c r="B131" s="2" t="s">
        <v>90</v>
      </c>
      <c r="C131" s="3">
        <v>45940</v>
      </c>
      <c r="D131" s="2" t="s">
        <v>16</v>
      </c>
      <c r="E131" s="2" t="s">
        <v>52</v>
      </c>
      <c r="F131" s="2" t="s">
        <v>59</v>
      </c>
      <c r="G131" s="2" t="s">
        <v>60</v>
      </c>
      <c r="H131" s="4">
        <v>711.9</v>
      </c>
      <c r="I131" s="2" t="s">
        <v>14</v>
      </c>
      <c r="J131" s="6" t="s">
        <v>15</v>
      </c>
    </row>
    <row r="132" spans="1:10" x14ac:dyDescent="0.3">
      <c r="A132" s="5">
        <v>2025</v>
      </c>
      <c r="B132" s="2" t="s">
        <v>90</v>
      </c>
      <c r="C132" s="3">
        <v>45946</v>
      </c>
      <c r="D132" s="2" t="s">
        <v>16</v>
      </c>
      <c r="E132" s="2" t="s">
        <v>61</v>
      </c>
      <c r="F132" s="2" t="s">
        <v>62</v>
      </c>
      <c r="G132" s="2" t="s">
        <v>63</v>
      </c>
      <c r="H132" s="4">
        <v>810</v>
      </c>
      <c r="I132" s="2" t="s">
        <v>14</v>
      </c>
      <c r="J132" s="6" t="s">
        <v>15</v>
      </c>
    </row>
    <row r="133" spans="1:10" x14ac:dyDescent="0.3">
      <c r="A133" s="5">
        <v>2025</v>
      </c>
      <c r="B133" s="2" t="s">
        <v>90</v>
      </c>
      <c r="C133" s="3">
        <v>45932</v>
      </c>
      <c r="D133" s="2" t="s">
        <v>16</v>
      </c>
      <c r="E133" s="2" t="s">
        <v>61</v>
      </c>
      <c r="F133" s="2" t="s">
        <v>64</v>
      </c>
      <c r="G133" s="2" t="s">
        <v>63</v>
      </c>
      <c r="H133" s="4">
        <v>916.2</v>
      </c>
      <c r="I133" s="2" t="s">
        <v>20</v>
      </c>
      <c r="J133" s="6" t="s">
        <v>15</v>
      </c>
    </row>
    <row r="134" spans="1:10" x14ac:dyDescent="0.3">
      <c r="A134" s="5">
        <v>2025</v>
      </c>
      <c r="B134" s="2" t="s">
        <v>90</v>
      </c>
      <c r="C134" s="3">
        <v>45954</v>
      </c>
      <c r="D134" s="2" t="s">
        <v>16</v>
      </c>
      <c r="E134" s="2" t="s">
        <v>65</v>
      </c>
      <c r="F134" s="2" t="s">
        <v>66</v>
      </c>
      <c r="G134" s="2" t="s">
        <v>67</v>
      </c>
      <c r="H134" s="4">
        <v>2727.9</v>
      </c>
      <c r="I134" s="2" t="s">
        <v>14</v>
      </c>
      <c r="J134" s="6" t="s">
        <v>15</v>
      </c>
    </row>
    <row r="135" spans="1:10" x14ac:dyDescent="0.3">
      <c r="A135" s="5">
        <v>2025</v>
      </c>
      <c r="B135" s="2" t="s">
        <v>90</v>
      </c>
      <c r="C135" s="3">
        <v>45934</v>
      </c>
      <c r="D135" s="2" t="s">
        <v>68</v>
      </c>
      <c r="E135" s="2" t="s">
        <v>69</v>
      </c>
      <c r="F135" s="2" t="s">
        <v>70</v>
      </c>
      <c r="G135" s="2" t="s">
        <v>71</v>
      </c>
      <c r="H135" s="4">
        <v>3068</v>
      </c>
      <c r="I135" s="2" t="s">
        <v>72</v>
      </c>
      <c r="J135" s="6" t="s">
        <v>15</v>
      </c>
    </row>
    <row r="136" spans="1:10" x14ac:dyDescent="0.3">
      <c r="A136" s="5">
        <v>2025</v>
      </c>
      <c r="B136" s="2" t="s">
        <v>90</v>
      </c>
      <c r="C136" s="3">
        <v>45951</v>
      </c>
      <c r="D136" s="2" t="s">
        <v>68</v>
      </c>
      <c r="E136" s="2" t="s">
        <v>69</v>
      </c>
      <c r="F136" s="2" t="s">
        <v>73</v>
      </c>
      <c r="G136" s="2" t="s">
        <v>71</v>
      </c>
      <c r="H136" s="4">
        <v>2016</v>
      </c>
      <c r="I136" s="2" t="s">
        <v>72</v>
      </c>
      <c r="J136" s="6" t="s">
        <v>15</v>
      </c>
    </row>
    <row r="137" spans="1:10" x14ac:dyDescent="0.3">
      <c r="A137" s="5">
        <v>2025</v>
      </c>
      <c r="B137" s="2" t="s">
        <v>90</v>
      </c>
      <c r="C137" s="3">
        <v>45946</v>
      </c>
      <c r="D137" s="2" t="s">
        <v>68</v>
      </c>
      <c r="E137" s="2" t="s">
        <v>69</v>
      </c>
      <c r="F137" s="2" t="s">
        <v>74</v>
      </c>
      <c r="G137" s="2" t="s">
        <v>75</v>
      </c>
      <c r="H137" s="4">
        <v>1140</v>
      </c>
      <c r="I137" s="2" t="s">
        <v>72</v>
      </c>
      <c r="J137" s="6" t="s">
        <v>15</v>
      </c>
    </row>
    <row r="138" spans="1:10" x14ac:dyDescent="0.3">
      <c r="A138" s="5">
        <v>2025</v>
      </c>
      <c r="B138" s="2" t="s">
        <v>90</v>
      </c>
      <c r="C138" s="3">
        <v>45934</v>
      </c>
      <c r="D138" s="2" t="s">
        <v>68</v>
      </c>
      <c r="E138" s="2" t="s">
        <v>69</v>
      </c>
      <c r="F138" s="2" t="s">
        <v>76</v>
      </c>
      <c r="G138" s="2" t="s">
        <v>77</v>
      </c>
      <c r="H138" s="4">
        <v>666</v>
      </c>
      <c r="I138" s="2" t="s">
        <v>72</v>
      </c>
      <c r="J138" s="6" t="s">
        <v>15</v>
      </c>
    </row>
    <row r="139" spans="1:10" x14ac:dyDescent="0.3">
      <c r="A139" s="5">
        <v>2025</v>
      </c>
      <c r="B139" s="2" t="s">
        <v>91</v>
      </c>
      <c r="C139" s="3">
        <v>45962</v>
      </c>
      <c r="D139" s="2" t="s">
        <v>11</v>
      </c>
      <c r="E139" s="2" t="s">
        <v>12</v>
      </c>
      <c r="F139" s="2" t="s">
        <v>12</v>
      </c>
      <c r="G139" s="2" t="s">
        <v>13</v>
      </c>
      <c r="H139" s="4">
        <v>39524</v>
      </c>
      <c r="I139" s="2" t="s">
        <v>14</v>
      </c>
      <c r="J139" s="6" t="s">
        <v>15</v>
      </c>
    </row>
    <row r="140" spans="1:10" x14ac:dyDescent="0.3">
      <c r="A140" s="5">
        <v>2025</v>
      </c>
      <c r="B140" s="2" t="s">
        <v>91</v>
      </c>
      <c r="C140" s="3">
        <v>45968</v>
      </c>
      <c r="D140" s="2" t="s">
        <v>16</v>
      </c>
      <c r="E140" s="2" t="s">
        <v>17</v>
      </c>
      <c r="F140" s="2" t="s">
        <v>18</v>
      </c>
      <c r="G140" s="2" t="s">
        <v>19</v>
      </c>
      <c r="H140" s="4">
        <v>11178.9</v>
      </c>
      <c r="I140" s="2" t="s">
        <v>28</v>
      </c>
      <c r="J140" s="6" t="s">
        <v>15</v>
      </c>
    </row>
    <row r="141" spans="1:10" x14ac:dyDescent="0.3">
      <c r="A141" s="5">
        <v>2025</v>
      </c>
      <c r="B141" s="2" t="s">
        <v>91</v>
      </c>
      <c r="C141" s="3">
        <v>45963</v>
      </c>
      <c r="D141" s="2" t="s">
        <v>16</v>
      </c>
      <c r="E141" s="2" t="s">
        <v>17</v>
      </c>
      <c r="F141" s="2" t="s">
        <v>21</v>
      </c>
      <c r="G141" s="2" t="s">
        <v>22</v>
      </c>
      <c r="H141" s="4">
        <v>708.3</v>
      </c>
      <c r="I141" s="2" t="s">
        <v>14</v>
      </c>
      <c r="J141" s="6" t="s">
        <v>15</v>
      </c>
    </row>
    <row r="142" spans="1:10" x14ac:dyDescent="0.3">
      <c r="A142" s="5">
        <v>2025</v>
      </c>
      <c r="B142" s="2" t="s">
        <v>91</v>
      </c>
      <c r="C142" s="3">
        <v>45973</v>
      </c>
      <c r="D142" s="2" t="s">
        <v>16</v>
      </c>
      <c r="E142" s="2" t="s">
        <v>23</v>
      </c>
      <c r="F142" s="2" t="s">
        <v>24</v>
      </c>
      <c r="G142" s="2" t="s">
        <v>79</v>
      </c>
      <c r="H142" s="4">
        <v>647.1</v>
      </c>
      <c r="I142" s="2" t="s">
        <v>14</v>
      </c>
      <c r="J142" s="6" t="s">
        <v>15</v>
      </c>
    </row>
    <row r="143" spans="1:10" x14ac:dyDescent="0.3">
      <c r="A143" s="5">
        <v>2025</v>
      </c>
      <c r="B143" s="2" t="s">
        <v>91</v>
      </c>
      <c r="C143" s="3">
        <v>45986</v>
      </c>
      <c r="D143" s="2" t="s">
        <v>16</v>
      </c>
      <c r="E143" s="2" t="s">
        <v>23</v>
      </c>
      <c r="F143" s="2" t="s">
        <v>26</v>
      </c>
      <c r="G143" s="2" t="s">
        <v>80</v>
      </c>
      <c r="H143" s="4">
        <v>262.8</v>
      </c>
      <c r="I143" s="2" t="s">
        <v>28</v>
      </c>
      <c r="J143" s="6" t="s">
        <v>15</v>
      </c>
    </row>
    <row r="144" spans="1:10" x14ac:dyDescent="0.3">
      <c r="A144" s="5">
        <v>2025</v>
      </c>
      <c r="B144" s="2" t="s">
        <v>91</v>
      </c>
      <c r="C144" s="3">
        <v>45968</v>
      </c>
      <c r="D144" s="2" t="s">
        <v>16</v>
      </c>
      <c r="E144" s="2" t="s">
        <v>23</v>
      </c>
      <c r="F144" s="2" t="s">
        <v>29</v>
      </c>
      <c r="G144" s="2" t="s">
        <v>80</v>
      </c>
      <c r="H144" s="4">
        <v>137.69999999999999</v>
      </c>
      <c r="I144" s="2" t="s">
        <v>28</v>
      </c>
      <c r="J144" s="6" t="s">
        <v>15</v>
      </c>
    </row>
    <row r="145" spans="1:10" x14ac:dyDescent="0.3">
      <c r="A145" s="5">
        <v>2025</v>
      </c>
      <c r="B145" s="2" t="s">
        <v>91</v>
      </c>
      <c r="C145" s="3">
        <v>45964</v>
      </c>
      <c r="D145" s="2" t="s">
        <v>16</v>
      </c>
      <c r="E145" s="2" t="s">
        <v>31</v>
      </c>
      <c r="F145" s="2" t="s">
        <v>32</v>
      </c>
      <c r="G145" s="2" t="s">
        <v>92</v>
      </c>
      <c r="H145" s="4">
        <v>1132.2</v>
      </c>
      <c r="I145" s="2" t="s">
        <v>20</v>
      </c>
      <c r="J145" s="6" t="s">
        <v>15</v>
      </c>
    </row>
    <row r="146" spans="1:10" x14ac:dyDescent="0.3">
      <c r="A146" s="5">
        <v>2025</v>
      </c>
      <c r="B146" s="2" t="s">
        <v>91</v>
      </c>
      <c r="C146" s="3">
        <v>45969</v>
      </c>
      <c r="D146" s="2" t="s">
        <v>16</v>
      </c>
      <c r="E146" s="2" t="s">
        <v>31</v>
      </c>
      <c r="F146" s="2" t="s">
        <v>34</v>
      </c>
      <c r="G146" s="2" t="s">
        <v>35</v>
      </c>
      <c r="H146" s="4">
        <v>626.4</v>
      </c>
      <c r="I146" s="2" t="s">
        <v>28</v>
      </c>
      <c r="J146" s="6" t="s">
        <v>15</v>
      </c>
    </row>
    <row r="147" spans="1:10" x14ac:dyDescent="0.3">
      <c r="A147" s="5">
        <v>2025</v>
      </c>
      <c r="B147" s="2" t="s">
        <v>91</v>
      </c>
      <c r="C147" s="3">
        <v>45972</v>
      </c>
      <c r="D147" s="2" t="s">
        <v>16</v>
      </c>
      <c r="E147" s="2" t="s">
        <v>31</v>
      </c>
      <c r="F147" s="2" t="s">
        <v>36</v>
      </c>
      <c r="G147" s="2" t="s">
        <v>37</v>
      </c>
      <c r="H147" s="4">
        <v>286.2</v>
      </c>
      <c r="I147" s="2" t="s">
        <v>20</v>
      </c>
      <c r="J147" s="6" t="s">
        <v>15</v>
      </c>
    </row>
    <row r="148" spans="1:10" x14ac:dyDescent="0.3">
      <c r="A148" s="5">
        <v>2025</v>
      </c>
      <c r="B148" s="2" t="s">
        <v>91</v>
      </c>
      <c r="C148" s="3">
        <v>45963</v>
      </c>
      <c r="D148" s="2" t="s">
        <v>16</v>
      </c>
      <c r="E148" s="2" t="s">
        <v>38</v>
      </c>
      <c r="F148" s="2" t="s">
        <v>39</v>
      </c>
      <c r="G148" s="2" t="s">
        <v>40</v>
      </c>
      <c r="H148" s="4">
        <v>1008.9</v>
      </c>
      <c r="I148" s="2" t="s">
        <v>28</v>
      </c>
      <c r="J148" s="6" t="s">
        <v>15</v>
      </c>
    </row>
    <row r="149" spans="1:10" x14ac:dyDescent="0.3">
      <c r="A149" s="5">
        <v>2025</v>
      </c>
      <c r="B149" s="2" t="s">
        <v>91</v>
      </c>
      <c r="C149" s="3">
        <v>45973</v>
      </c>
      <c r="D149" s="2" t="s">
        <v>16</v>
      </c>
      <c r="E149" s="2" t="s">
        <v>38</v>
      </c>
      <c r="F149" s="2" t="s">
        <v>41</v>
      </c>
      <c r="G149" s="2" t="s">
        <v>42</v>
      </c>
      <c r="H149" s="4">
        <v>376.2</v>
      </c>
      <c r="I149" s="2" t="s">
        <v>20</v>
      </c>
      <c r="J149" s="6" t="s">
        <v>15</v>
      </c>
    </row>
    <row r="150" spans="1:10" x14ac:dyDescent="0.3">
      <c r="A150" s="5">
        <v>2025</v>
      </c>
      <c r="B150" s="2" t="s">
        <v>91</v>
      </c>
      <c r="C150" s="3">
        <v>45987</v>
      </c>
      <c r="D150" s="2" t="s">
        <v>16</v>
      </c>
      <c r="E150" s="2" t="s">
        <v>38</v>
      </c>
      <c r="F150" s="2" t="s">
        <v>43</v>
      </c>
      <c r="G150" s="2" t="s">
        <v>44</v>
      </c>
      <c r="H150" s="4">
        <v>277.2</v>
      </c>
      <c r="I150" s="2" t="s">
        <v>28</v>
      </c>
      <c r="J150" s="6" t="s">
        <v>15</v>
      </c>
    </row>
    <row r="151" spans="1:10" x14ac:dyDescent="0.3">
      <c r="A151" s="5">
        <v>2025</v>
      </c>
      <c r="B151" s="2" t="s">
        <v>91</v>
      </c>
      <c r="C151" s="3">
        <v>45983</v>
      </c>
      <c r="D151" s="2" t="s">
        <v>16</v>
      </c>
      <c r="E151" s="2" t="s">
        <v>38</v>
      </c>
      <c r="F151" s="2" t="s">
        <v>45</v>
      </c>
      <c r="G151" s="2" t="s">
        <v>46</v>
      </c>
      <c r="H151" s="4">
        <v>418.5</v>
      </c>
      <c r="I151" s="2" t="s">
        <v>14</v>
      </c>
      <c r="J151" s="6" t="s">
        <v>15</v>
      </c>
    </row>
    <row r="152" spans="1:10" x14ac:dyDescent="0.3">
      <c r="A152" s="5">
        <v>2025</v>
      </c>
      <c r="B152" s="2" t="s">
        <v>91</v>
      </c>
      <c r="C152" s="3">
        <v>45989</v>
      </c>
      <c r="D152" s="2" t="s">
        <v>16</v>
      </c>
      <c r="E152" s="2" t="s">
        <v>47</v>
      </c>
      <c r="F152" s="2" t="s">
        <v>48</v>
      </c>
      <c r="G152" s="2" t="s">
        <v>84</v>
      </c>
      <c r="H152" s="4">
        <v>1514.7</v>
      </c>
      <c r="I152" s="2" t="s">
        <v>20</v>
      </c>
      <c r="J152" s="6" t="s">
        <v>15</v>
      </c>
    </row>
    <row r="153" spans="1:10" x14ac:dyDescent="0.3">
      <c r="A153" s="5">
        <v>2025</v>
      </c>
      <c r="B153" s="2" t="s">
        <v>91</v>
      </c>
      <c r="C153" s="3">
        <v>45966</v>
      </c>
      <c r="D153" s="2" t="s">
        <v>16</v>
      </c>
      <c r="E153" s="2" t="s">
        <v>47</v>
      </c>
      <c r="F153" s="2" t="s">
        <v>50</v>
      </c>
      <c r="G153" s="2" t="s">
        <v>51</v>
      </c>
      <c r="H153" s="4">
        <v>765</v>
      </c>
      <c r="I153" s="2" t="s">
        <v>20</v>
      </c>
      <c r="J153" s="6" t="s">
        <v>15</v>
      </c>
    </row>
    <row r="154" spans="1:10" x14ac:dyDescent="0.3">
      <c r="A154" s="5">
        <v>2025</v>
      </c>
      <c r="B154" s="2" t="s">
        <v>91</v>
      </c>
      <c r="C154" s="3">
        <v>45981</v>
      </c>
      <c r="D154" s="2" t="s">
        <v>16</v>
      </c>
      <c r="E154" s="2" t="s">
        <v>52</v>
      </c>
      <c r="F154" s="2" t="s">
        <v>53</v>
      </c>
      <c r="G154" s="2" t="s">
        <v>54</v>
      </c>
      <c r="H154" s="4">
        <v>592.20000000000005</v>
      </c>
      <c r="I154" s="2" t="s">
        <v>20</v>
      </c>
      <c r="J154" s="6" t="s">
        <v>15</v>
      </c>
    </row>
    <row r="155" spans="1:10" x14ac:dyDescent="0.3">
      <c r="A155" s="5">
        <v>2025</v>
      </c>
      <c r="B155" s="2" t="s">
        <v>91</v>
      </c>
      <c r="C155" s="3">
        <v>45966</v>
      </c>
      <c r="D155" s="2" t="s">
        <v>16</v>
      </c>
      <c r="E155" s="2" t="s">
        <v>52</v>
      </c>
      <c r="F155" s="2" t="s">
        <v>55</v>
      </c>
      <c r="G155" s="2" t="s">
        <v>87</v>
      </c>
      <c r="H155" s="4">
        <v>272.7</v>
      </c>
      <c r="I155" s="2" t="s">
        <v>28</v>
      </c>
      <c r="J155" s="6" t="s">
        <v>15</v>
      </c>
    </row>
    <row r="156" spans="1:10" x14ac:dyDescent="0.3">
      <c r="A156" s="5">
        <v>2025</v>
      </c>
      <c r="B156" s="2" t="s">
        <v>91</v>
      </c>
      <c r="C156" s="3">
        <v>45986</v>
      </c>
      <c r="D156" s="2" t="s">
        <v>16</v>
      </c>
      <c r="E156" s="2" t="s">
        <v>52</v>
      </c>
      <c r="F156" s="2" t="s">
        <v>57</v>
      </c>
      <c r="G156" s="2" t="s">
        <v>58</v>
      </c>
      <c r="H156" s="4">
        <v>183.6</v>
      </c>
      <c r="I156" s="2" t="s">
        <v>28</v>
      </c>
      <c r="J156" s="6" t="s">
        <v>15</v>
      </c>
    </row>
    <row r="157" spans="1:10" x14ac:dyDescent="0.3">
      <c r="A157" s="5">
        <v>2025</v>
      </c>
      <c r="B157" s="2" t="s">
        <v>91</v>
      </c>
      <c r="C157" s="3">
        <v>45982</v>
      </c>
      <c r="D157" s="2" t="s">
        <v>16</v>
      </c>
      <c r="E157" s="2" t="s">
        <v>52</v>
      </c>
      <c r="F157" s="2" t="s">
        <v>59</v>
      </c>
      <c r="G157" s="2" t="s">
        <v>60</v>
      </c>
      <c r="H157" s="4">
        <v>364.5</v>
      </c>
      <c r="I157" s="2" t="s">
        <v>28</v>
      </c>
      <c r="J157" s="6" t="s">
        <v>15</v>
      </c>
    </row>
    <row r="158" spans="1:10" x14ac:dyDescent="0.3">
      <c r="A158" s="5">
        <v>2025</v>
      </c>
      <c r="B158" s="2" t="s">
        <v>91</v>
      </c>
      <c r="C158" s="3">
        <v>45981</v>
      </c>
      <c r="D158" s="2" t="s">
        <v>16</v>
      </c>
      <c r="E158" s="2" t="s">
        <v>61</v>
      </c>
      <c r="F158" s="2" t="s">
        <v>62</v>
      </c>
      <c r="G158" s="2" t="s">
        <v>63</v>
      </c>
      <c r="H158" s="4">
        <v>989.1</v>
      </c>
      <c r="I158" s="2" t="s">
        <v>28</v>
      </c>
      <c r="J158" s="6" t="s">
        <v>15</v>
      </c>
    </row>
    <row r="159" spans="1:10" x14ac:dyDescent="0.3">
      <c r="A159" s="5">
        <v>2025</v>
      </c>
      <c r="B159" s="2" t="s">
        <v>91</v>
      </c>
      <c r="C159" s="3">
        <v>45964</v>
      </c>
      <c r="D159" s="2" t="s">
        <v>16</v>
      </c>
      <c r="E159" s="2" t="s">
        <v>61</v>
      </c>
      <c r="F159" s="2" t="s">
        <v>64</v>
      </c>
      <c r="G159" s="2" t="s">
        <v>63</v>
      </c>
      <c r="H159" s="4">
        <v>1140.3</v>
      </c>
      <c r="I159" s="2" t="s">
        <v>20</v>
      </c>
      <c r="J159" s="6" t="s">
        <v>15</v>
      </c>
    </row>
    <row r="160" spans="1:10" x14ac:dyDescent="0.3">
      <c r="A160" s="5">
        <v>2025</v>
      </c>
      <c r="B160" s="2" t="s">
        <v>91</v>
      </c>
      <c r="C160" s="3">
        <v>45979</v>
      </c>
      <c r="D160" s="2" t="s">
        <v>16</v>
      </c>
      <c r="E160" s="2" t="s">
        <v>65</v>
      </c>
      <c r="F160" s="2" t="s">
        <v>66</v>
      </c>
      <c r="G160" s="2" t="s">
        <v>67</v>
      </c>
      <c r="H160" s="4">
        <v>3393.9</v>
      </c>
      <c r="I160" s="2" t="s">
        <v>28</v>
      </c>
      <c r="J160" s="6" t="s">
        <v>15</v>
      </c>
    </row>
    <row r="161" spans="1:10" x14ac:dyDescent="0.3">
      <c r="A161" s="5">
        <v>2025</v>
      </c>
      <c r="B161" s="2" t="s">
        <v>91</v>
      </c>
      <c r="C161" s="3">
        <v>45977</v>
      </c>
      <c r="D161" s="2" t="s">
        <v>68</v>
      </c>
      <c r="E161" s="2" t="s">
        <v>69</v>
      </c>
      <c r="F161" s="2" t="s">
        <v>70</v>
      </c>
      <c r="G161" s="2" t="s">
        <v>71</v>
      </c>
      <c r="H161" s="4">
        <v>3366</v>
      </c>
      <c r="I161" s="2" t="s">
        <v>72</v>
      </c>
      <c r="J161" s="6" t="s">
        <v>15</v>
      </c>
    </row>
    <row r="162" spans="1:10" x14ac:dyDescent="0.3">
      <c r="A162" s="5">
        <v>2025</v>
      </c>
      <c r="B162" s="2" t="s">
        <v>91</v>
      </c>
      <c r="C162" s="3">
        <v>45985</v>
      </c>
      <c r="D162" s="2" t="s">
        <v>68</v>
      </c>
      <c r="E162" s="2" t="s">
        <v>69</v>
      </c>
      <c r="F162" s="2" t="s">
        <v>73</v>
      </c>
      <c r="G162" s="2" t="s">
        <v>71</v>
      </c>
      <c r="H162" s="4">
        <v>2212</v>
      </c>
      <c r="I162" s="2" t="s">
        <v>72</v>
      </c>
      <c r="J162" s="6" t="s">
        <v>15</v>
      </c>
    </row>
    <row r="163" spans="1:10" x14ac:dyDescent="0.3">
      <c r="A163" s="5">
        <v>2025</v>
      </c>
      <c r="B163" s="2" t="s">
        <v>91</v>
      </c>
      <c r="C163" s="3">
        <v>45983</v>
      </c>
      <c r="D163" s="2" t="s">
        <v>68</v>
      </c>
      <c r="E163" s="2" t="s">
        <v>69</v>
      </c>
      <c r="F163" s="2" t="s">
        <v>74</v>
      </c>
      <c r="G163" s="2" t="s">
        <v>75</v>
      </c>
      <c r="H163" s="4">
        <v>1276</v>
      </c>
      <c r="I163" s="2" t="s">
        <v>72</v>
      </c>
      <c r="J163" s="6" t="s">
        <v>15</v>
      </c>
    </row>
    <row r="164" spans="1:10" x14ac:dyDescent="0.3">
      <c r="A164" s="5">
        <v>2025</v>
      </c>
      <c r="B164" s="2" t="s">
        <v>91</v>
      </c>
      <c r="C164" s="3">
        <v>45985</v>
      </c>
      <c r="D164" s="2" t="s">
        <v>68</v>
      </c>
      <c r="E164" s="2" t="s">
        <v>69</v>
      </c>
      <c r="F164" s="2" t="s">
        <v>76</v>
      </c>
      <c r="G164" s="2" t="s">
        <v>77</v>
      </c>
      <c r="H164" s="4">
        <v>745</v>
      </c>
      <c r="I164" s="2" t="s">
        <v>72</v>
      </c>
      <c r="J164" s="6" t="s">
        <v>15</v>
      </c>
    </row>
    <row r="165" spans="1:10" x14ac:dyDescent="0.3">
      <c r="A165" s="5">
        <v>2025</v>
      </c>
      <c r="B165" s="2" t="s">
        <v>93</v>
      </c>
      <c r="C165" s="3">
        <v>45992</v>
      </c>
      <c r="D165" s="2" t="s">
        <v>11</v>
      </c>
      <c r="E165" s="2" t="s">
        <v>12</v>
      </c>
      <c r="F165" s="2" t="s">
        <v>12</v>
      </c>
      <c r="G165" s="2" t="s">
        <v>13</v>
      </c>
      <c r="H165" s="4">
        <v>34741</v>
      </c>
      <c r="I165" s="2" t="s">
        <v>14</v>
      </c>
      <c r="J165" s="6" t="s">
        <v>15</v>
      </c>
    </row>
    <row r="166" spans="1:10" x14ac:dyDescent="0.3">
      <c r="A166" s="5">
        <v>2025</v>
      </c>
      <c r="B166" s="2" t="s">
        <v>93</v>
      </c>
      <c r="C166" s="3">
        <v>46012</v>
      </c>
      <c r="D166" s="2" t="s">
        <v>16</v>
      </c>
      <c r="E166" s="2" t="s">
        <v>17</v>
      </c>
      <c r="F166" s="2" t="s">
        <v>18</v>
      </c>
      <c r="G166" s="2" t="s">
        <v>19</v>
      </c>
      <c r="H166" s="4">
        <v>13126.5</v>
      </c>
      <c r="I166" s="2" t="s">
        <v>28</v>
      </c>
      <c r="J166" s="6" t="s">
        <v>15</v>
      </c>
    </row>
    <row r="167" spans="1:10" x14ac:dyDescent="0.3">
      <c r="A167" s="5">
        <v>2025</v>
      </c>
      <c r="B167" s="2" t="s">
        <v>93</v>
      </c>
      <c r="C167" s="3">
        <v>46010</v>
      </c>
      <c r="D167" s="2" t="s">
        <v>16</v>
      </c>
      <c r="E167" s="2" t="s">
        <v>17</v>
      </c>
      <c r="F167" s="2" t="s">
        <v>21</v>
      </c>
      <c r="G167" s="2" t="s">
        <v>22</v>
      </c>
      <c r="H167" s="4">
        <v>1088.0999999999999</v>
      </c>
      <c r="I167" s="2" t="s">
        <v>28</v>
      </c>
      <c r="J167" s="6" t="s">
        <v>15</v>
      </c>
    </row>
    <row r="168" spans="1:10" x14ac:dyDescent="0.3">
      <c r="A168" s="5">
        <v>2025</v>
      </c>
      <c r="B168" s="2" t="s">
        <v>93</v>
      </c>
      <c r="C168" s="3">
        <v>46002</v>
      </c>
      <c r="D168" s="2" t="s">
        <v>16</v>
      </c>
      <c r="E168" s="2" t="s">
        <v>23</v>
      </c>
      <c r="F168" s="2" t="s">
        <v>24</v>
      </c>
      <c r="G168" s="2" t="s">
        <v>51</v>
      </c>
      <c r="H168" s="4">
        <v>697.5</v>
      </c>
      <c r="I168" s="2" t="s">
        <v>28</v>
      </c>
      <c r="J168" s="6" t="s">
        <v>15</v>
      </c>
    </row>
    <row r="169" spans="1:10" x14ac:dyDescent="0.3">
      <c r="A169" s="5">
        <v>2025</v>
      </c>
      <c r="B169" s="2" t="s">
        <v>93</v>
      </c>
      <c r="C169" s="3">
        <v>46018</v>
      </c>
      <c r="D169" s="2" t="s">
        <v>16</v>
      </c>
      <c r="E169" s="2" t="s">
        <v>23</v>
      </c>
      <c r="F169" s="2" t="s">
        <v>26</v>
      </c>
      <c r="G169" s="2" t="s">
        <v>27</v>
      </c>
      <c r="H169" s="4">
        <v>645.29999999999995</v>
      </c>
      <c r="I169" s="2" t="s">
        <v>14</v>
      </c>
      <c r="J169" s="6" t="s">
        <v>15</v>
      </c>
    </row>
    <row r="170" spans="1:10" x14ac:dyDescent="0.3">
      <c r="A170" s="5">
        <v>2025</v>
      </c>
      <c r="B170" s="2" t="s">
        <v>93</v>
      </c>
      <c r="C170" s="3">
        <v>46013</v>
      </c>
      <c r="D170" s="2" t="s">
        <v>16</v>
      </c>
      <c r="E170" s="2" t="s">
        <v>23</v>
      </c>
      <c r="F170" s="2" t="s">
        <v>29</v>
      </c>
      <c r="G170" s="2" t="s">
        <v>30</v>
      </c>
      <c r="H170" s="4">
        <v>302.39999999999998</v>
      </c>
      <c r="I170" s="2" t="s">
        <v>28</v>
      </c>
      <c r="J170" s="6" t="s">
        <v>15</v>
      </c>
    </row>
    <row r="171" spans="1:10" x14ac:dyDescent="0.3">
      <c r="A171" s="5">
        <v>2025</v>
      </c>
      <c r="B171" s="2" t="s">
        <v>93</v>
      </c>
      <c r="C171" s="3">
        <v>46007</v>
      </c>
      <c r="D171" s="2" t="s">
        <v>16</v>
      </c>
      <c r="E171" s="2" t="s">
        <v>31</v>
      </c>
      <c r="F171" s="2" t="s">
        <v>32</v>
      </c>
      <c r="G171" s="2" t="s">
        <v>92</v>
      </c>
      <c r="H171" s="4">
        <v>603</v>
      </c>
      <c r="I171" s="2" t="s">
        <v>14</v>
      </c>
      <c r="J171" s="6" t="s">
        <v>15</v>
      </c>
    </row>
    <row r="172" spans="1:10" x14ac:dyDescent="0.3">
      <c r="A172" s="5">
        <v>2025</v>
      </c>
      <c r="B172" s="2" t="s">
        <v>93</v>
      </c>
      <c r="C172" s="3">
        <v>45999</v>
      </c>
      <c r="D172" s="2" t="s">
        <v>16</v>
      </c>
      <c r="E172" s="2" t="s">
        <v>31</v>
      </c>
      <c r="F172" s="2" t="s">
        <v>34</v>
      </c>
      <c r="G172" s="2" t="s">
        <v>35</v>
      </c>
      <c r="H172" s="4">
        <v>585</v>
      </c>
      <c r="I172" s="2" t="s">
        <v>14</v>
      </c>
      <c r="J172" s="6" t="s">
        <v>15</v>
      </c>
    </row>
    <row r="173" spans="1:10" x14ac:dyDescent="0.3">
      <c r="A173" s="5">
        <v>2025</v>
      </c>
      <c r="B173" s="2" t="s">
        <v>93</v>
      </c>
      <c r="C173" s="3">
        <v>45998</v>
      </c>
      <c r="D173" s="2" t="s">
        <v>16</v>
      </c>
      <c r="E173" s="2" t="s">
        <v>31</v>
      </c>
      <c r="F173" s="2" t="s">
        <v>36</v>
      </c>
      <c r="G173" s="2" t="s">
        <v>37</v>
      </c>
      <c r="H173" s="4">
        <v>404.1</v>
      </c>
      <c r="I173" s="2" t="s">
        <v>28</v>
      </c>
      <c r="J173" s="6" t="s">
        <v>15</v>
      </c>
    </row>
    <row r="174" spans="1:10" x14ac:dyDescent="0.3">
      <c r="A174" s="5">
        <v>2025</v>
      </c>
      <c r="B174" s="2" t="s">
        <v>93</v>
      </c>
      <c r="C174" s="3">
        <v>46009</v>
      </c>
      <c r="D174" s="2" t="s">
        <v>16</v>
      </c>
      <c r="E174" s="2" t="s">
        <v>38</v>
      </c>
      <c r="F174" s="2" t="s">
        <v>39</v>
      </c>
      <c r="G174" s="2" t="s">
        <v>40</v>
      </c>
      <c r="H174" s="4">
        <v>1128.5999999999999</v>
      </c>
      <c r="I174" s="2" t="s">
        <v>20</v>
      </c>
      <c r="J174" s="6" t="s">
        <v>15</v>
      </c>
    </row>
    <row r="175" spans="1:10" x14ac:dyDescent="0.3">
      <c r="A175" s="5">
        <v>2025</v>
      </c>
      <c r="B175" s="2" t="s">
        <v>93</v>
      </c>
      <c r="C175" s="3">
        <v>46019</v>
      </c>
      <c r="D175" s="2" t="s">
        <v>16</v>
      </c>
      <c r="E175" s="2" t="s">
        <v>38</v>
      </c>
      <c r="F175" s="2" t="s">
        <v>41</v>
      </c>
      <c r="G175" s="2" t="s">
        <v>83</v>
      </c>
      <c r="H175" s="4">
        <v>450.9</v>
      </c>
      <c r="I175" s="2" t="s">
        <v>14</v>
      </c>
      <c r="J175" s="6" t="s">
        <v>15</v>
      </c>
    </row>
    <row r="176" spans="1:10" x14ac:dyDescent="0.3">
      <c r="A176" s="5">
        <v>2025</v>
      </c>
      <c r="B176" s="2" t="s">
        <v>93</v>
      </c>
      <c r="C176" s="3">
        <v>46002</v>
      </c>
      <c r="D176" s="2" t="s">
        <v>16</v>
      </c>
      <c r="E176" s="2" t="s">
        <v>38</v>
      </c>
      <c r="F176" s="2" t="s">
        <v>43</v>
      </c>
      <c r="G176" s="2" t="s">
        <v>83</v>
      </c>
      <c r="H176" s="4">
        <v>331.2</v>
      </c>
      <c r="I176" s="2" t="s">
        <v>20</v>
      </c>
      <c r="J176" s="6" t="s">
        <v>15</v>
      </c>
    </row>
    <row r="177" spans="1:10" x14ac:dyDescent="0.3">
      <c r="A177" s="5">
        <v>2025</v>
      </c>
      <c r="B177" s="2" t="s">
        <v>93</v>
      </c>
      <c r="C177" s="3">
        <v>45997</v>
      </c>
      <c r="D177" s="2" t="s">
        <v>16</v>
      </c>
      <c r="E177" s="2" t="s">
        <v>38</v>
      </c>
      <c r="F177" s="2" t="s">
        <v>45</v>
      </c>
      <c r="G177" s="2" t="s">
        <v>46</v>
      </c>
      <c r="H177" s="4">
        <v>438.3</v>
      </c>
      <c r="I177" s="2" t="s">
        <v>20</v>
      </c>
      <c r="J177" s="6" t="s">
        <v>15</v>
      </c>
    </row>
    <row r="178" spans="1:10" x14ac:dyDescent="0.3">
      <c r="A178" s="5">
        <v>2025</v>
      </c>
      <c r="B178" s="2" t="s">
        <v>93</v>
      </c>
      <c r="C178" s="3">
        <v>46000</v>
      </c>
      <c r="D178" s="2" t="s">
        <v>16</v>
      </c>
      <c r="E178" s="2" t="s">
        <v>47</v>
      </c>
      <c r="F178" s="2" t="s">
        <v>48</v>
      </c>
      <c r="G178" s="2" t="s">
        <v>84</v>
      </c>
      <c r="H178" s="4">
        <v>948.6</v>
      </c>
      <c r="I178" s="2" t="s">
        <v>14</v>
      </c>
      <c r="J178" s="6" t="s">
        <v>15</v>
      </c>
    </row>
    <row r="179" spans="1:10" x14ac:dyDescent="0.3">
      <c r="A179" s="5">
        <v>2025</v>
      </c>
      <c r="B179" s="2" t="s">
        <v>93</v>
      </c>
      <c r="C179" s="3">
        <v>46017</v>
      </c>
      <c r="D179" s="2" t="s">
        <v>16</v>
      </c>
      <c r="E179" s="2" t="s">
        <v>47</v>
      </c>
      <c r="F179" s="2" t="s">
        <v>50</v>
      </c>
      <c r="G179" s="2" t="s">
        <v>85</v>
      </c>
      <c r="H179" s="4">
        <v>717.3</v>
      </c>
      <c r="I179" s="2" t="s">
        <v>28</v>
      </c>
      <c r="J179" s="6" t="s">
        <v>15</v>
      </c>
    </row>
    <row r="180" spans="1:10" x14ac:dyDescent="0.3">
      <c r="A180" s="5">
        <v>2025</v>
      </c>
      <c r="B180" s="2" t="s">
        <v>93</v>
      </c>
      <c r="C180" s="3">
        <v>46006</v>
      </c>
      <c r="D180" s="2" t="s">
        <v>16</v>
      </c>
      <c r="E180" s="2" t="s">
        <v>52</v>
      </c>
      <c r="F180" s="2" t="s">
        <v>53</v>
      </c>
      <c r="G180" s="2" t="s">
        <v>86</v>
      </c>
      <c r="H180" s="4">
        <v>440.1</v>
      </c>
      <c r="I180" s="2" t="s">
        <v>14</v>
      </c>
      <c r="J180" s="6" t="s">
        <v>15</v>
      </c>
    </row>
    <row r="181" spans="1:10" x14ac:dyDescent="0.3">
      <c r="A181" s="5">
        <v>2025</v>
      </c>
      <c r="B181" s="2" t="s">
        <v>93</v>
      </c>
      <c r="C181" s="3">
        <v>46015</v>
      </c>
      <c r="D181" s="2" t="s">
        <v>16</v>
      </c>
      <c r="E181" s="2" t="s">
        <v>52</v>
      </c>
      <c r="F181" s="2" t="s">
        <v>55</v>
      </c>
      <c r="G181" s="2" t="s">
        <v>87</v>
      </c>
      <c r="H181" s="4">
        <v>330.3</v>
      </c>
      <c r="I181" s="2" t="s">
        <v>28</v>
      </c>
      <c r="J181" s="6" t="s">
        <v>15</v>
      </c>
    </row>
    <row r="182" spans="1:10" x14ac:dyDescent="0.3">
      <c r="A182" s="5">
        <v>2025</v>
      </c>
      <c r="B182" s="2" t="s">
        <v>93</v>
      </c>
      <c r="C182" s="3">
        <v>46005</v>
      </c>
      <c r="D182" s="2" t="s">
        <v>16</v>
      </c>
      <c r="E182" s="2" t="s">
        <v>52</v>
      </c>
      <c r="F182" s="2" t="s">
        <v>57</v>
      </c>
      <c r="G182" s="2" t="s">
        <v>58</v>
      </c>
      <c r="H182" s="4">
        <v>323.10000000000002</v>
      </c>
      <c r="I182" s="2" t="s">
        <v>20</v>
      </c>
      <c r="J182" s="6" t="s">
        <v>15</v>
      </c>
    </row>
    <row r="183" spans="1:10" x14ac:dyDescent="0.3">
      <c r="A183" s="5">
        <v>2025</v>
      </c>
      <c r="B183" s="2" t="s">
        <v>93</v>
      </c>
      <c r="C183" s="3">
        <v>46013</v>
      </c>
      <c r="D183" s="2" t="s">
        <v>16</v>
      </c>
      <c r="E183" s="2" t="s">
        <v>52</v>
      </c>
      <c r="F183" s="2" t="s">
        <v>59</v>
      </c>
      <c r="G183" s="2" t="s">
        <v>60</v>
      </c>
      <c r="H183" s="4">
        <v>321.3</v>
      </c>
      <c r="I183" s="2" t="s">
        <v>20</v>
      </c>
      <c r="J183" s="6" t="s">
        <v>15</v>
      </c>
    </row>
    <row r="184" spans="1:10" x14ac:dyDescent="0.3">
      <c r="A184" s="5">
        <v>2025</v>
      </c>
      <c r="B184" s="2" t="s">
        <v>93</v>
      </c>
      <c r="C184" s="3">
        <v>46017</v>
      </c>
      <c r="D184" s="2" t="s">
        <v>16</v>
      </c>
      <c r="E184" s="2" t="s">
        <v>61</v>
      </c>
      <c r="F184" s="2" t="s">
        <v>62</v>
      </c>
      <c r="G184" s="2" t="s">
        <v>63</v>
      </c>
      <c r="H184" s="4">
        <v>283.5</v>
      </c>
      <c r="I184" s="2" t="s">
        <v>20</v>
      </c>
      <c r="J184" s="6" t="s">
        <v>15</v>
      </c>
    </row>
    <row r="185" spans="1:10" x14ac:dyDescent="0.3">
      <c r="A185" s="5">
        <v>2025</v>
      </c>
      <c r="B185" s="2" t="s">
        <v>93</v>
      </c>
      <c r="C185" s="3">
        <v>45998</v>
      </c>
      <c r="D185" s="2" t="s">
        <v>16</v>
      </c>
      <c r="E185" s="2" t="s">
        <v>61</v>
      </c>
      <c r="F185" s="2" t="s">
        <v>64</v>
      </c>
      <c r="G185" s="2" t="s">
        <v>63</v>
      </c>
      <c r="H185" s="4">
        <v>437.4</v>
      </c>
      <c r="I185" s="2" t="s">
        <v>20</v>
      </c>
      <c r="J185" s="6" t="s">
        <v>15</v>
      </c>
    </row>
    <row r="186" spans="1:10" x14ac:dyDescent="0.3">
      <c r="A186" s="5">
        <v>2025</v>
      </c>
      <c r="B186" s="2" t="s">
        <v>93</v>
      </c>
      <c r="C186" s="3">
        <v>46010</v>
      </c>
      <c r="D186" s="2" t="s">
        <v>16</v>
      </c>
      <c r="E186" s="2" t="s">
        <v>65</v>
      </c>
      <c r="F186" s="2" t="s">
        <v>66</v>
      </c>
      <c r="G186" s="2" t="s">
        <v>67</v>
      </c>
      <c r="H186" s="4">
        <v>385.2</v>
      </c>
      <c r="I186" s="2" t="s">
        <v>20</v>
      </c>
      <c r="J186" s="6" t="s">
        <v>15</v>
      </c>
    </row>
    <row r="187" spans="1:10" x14ac:dyDescent="0.3">
      <c r="A187" s="5">
        <v>2025</v>
      </c>
      <c r="B187" s="2" t="s">
        <v>93</v>
      </c>
      <c r="C187" s="3">
        <v>46008</v>
      </c>
      <c r="D187" s="2" t="s">
        <v>68</v>
      </c>
      <c r="E187" s="2" t="s">
        <v>69</v>
      </c>
      <c r="F187" s="2" t="s">
        <v>70</v>
      </c>
      <c r="G187" s="2" t="s">
        <v>71</v>
      </c>
      <c r="H187" s="4">
        <v>3890</v>
      </c>
      <c r="I187" s="2" t="s">
        <v>72</v>
      </c>
      <c r="J187" s="6" t="s">
        <v>15</v>
      </c>
    </row>
    <row r="188" spans="1:10" x14ac:dyDescent="0.3">
      <c r="A188" s="5">
        <v>2025</v>
      </c>
      <c r="B188" s="2" t="s">
        <v>93</v>
      </c>
      <c r="C188" s="3">
        <v>46008</v>
      </c>
      <c r="D188" s="2" t="s">
        <v>68</v>
      </c>
      <c r="E188" s="2" t="s">
        <v>69</v>
      </c>
      <c r="F188" s="2" t="s">
        <v>73</v>
      </c>
      <c r="G188" s="2" t="s">
        <v>71</v>
      </c>
      <c r="H188" s="4">
        <v>2555</v>
      </c>
      <c r="I188" s="2" t="s">
        <v>72</v>
      </c>
      <c r="J188" s="6" t="s">
        <v>15</v>
      </c>
    </row>
    <row r="189" spans="1:10" x14ac:dyDescent="0.3">
      <c r="A189" s="5">
        <v>2025</v>
      </c>
      <c r="B189" s="2" t="s">
        <v>93</v>
      </c>
      <c r="C189" s="3">
        <v>46018</v>
      </c>
      <c r="D189" s="2" t="s">
        <v>68</v>
      </c>
      <c r="E189" s="2" t="s">
        <v>69</v>
      </c>
      <c r="F189" s="2" t="s">
        <v>74</v>
      </c>
      <c r="G189" s="2" t="s">
        <v>75</v>
      </c>
      <c r="H189" s="4">
        <v>1444</v>
      </c>
      <c r="I189" s="2" t="s">
        <v>72</v>
      </c>
      <c r="J189" s="6" t="s">
        <v>15</v>
      </c>
    </row>
    <row r="190" spans="1:10" x14ac:dyDescent="0.3">
      <c r="A190" s="5">
        <v>2025</v>
      </c>
      <c r="B190" s="2" t="s">
        <v>93</v>
      </c>
      <c r="C190" s="3">
        <v>46013</v>
      </c>
      <c r="D190" s="2" t="s">
        <v>68</v>
      </c>
      <c r="E190" s="2" t="s">
        <v>69</v>
      </c>
      <c r="F190" s="2" t="s">
        <v>76</v>
      </c>
      <c r="G190" s="2" t="s">
        <v>77</v>
      </c>
      <c r="H190" s="4">
        <v>844</v>
      </c>
      <c r="I190" s="2" t="s">
        <v>72</v>
      </c>
      <c r="J190" s="6" t="s">
        <v>15</v>
      </c>
    </row>
    <row r="191" spans="1:10" x14ac:dyDescent="0.3">
      <c r="A191" s="5">
        <v>2026</v>
      </c>
      <c r="B191" s="2" t="s">
        <v>94</v>
      </c>
      <c r="C191" s="3">
        <v>46023</v>
      </c>
      <c r="D191" s="2" t="s">
        <v>11</v>
      </c>
      <c r="E191" s="2" t="s">
        <v>12</v>
      </c>
      <c r="F191" s="2" t="s">
        <v>12</v>
      </c>
      <c r="G191" s="2" t="s">
        <v>13</v>
      </c>
      <c r="H191" s="4">
        <v>56250</v>
      </c>
      <c r="I191" s="2" t="s">
        <v>14</v>
      </c>
      <c r="J191" s="6" t="s">
        <v>15</v>
      </c>
    </row>
    <row r="192" spans="1:10" x14ac:dyDescent="0.3">
      <c r="A192" s="5">
        <v>2026</v>
      </c>
      <c r="B192" s="2" t="s">
        <v>94</v>
      </c>
      <c r="C192" s="3">
        <v>46026</v>
      </c>
      <c r="D192" s="2" t="s">
        <v>16</v>
      </c>
      <c r="E192" s="2" t="s">
        <v>17</v>
      </c>
      <c r="F192" s="2" t="s">
        <v>18</v>
      </c>
      <c r="G192" s="2" t="s">
        <v>19</v>
      </c>
      <c r="H192" s="4">
        <v>12810.6</v>
      </c>
      <c r="I192" s="2" t="s">
        <v>20</v>
      </c>
      <c r="J192" s="6" t="s">
        <v>15</v>
      </c>
    </row>
    <row r="193" spans="1:10" x14ac:dyDescent="0.3">
      <c r="A193" s="5">
        <v>2026</v>
      </c>
      <c r="B193" s="2" t="s">
        <v>94</v>
      </c>
      <c r="C193" s="3">
        <v>46032</v>
      </c>
      <c r="D193" s="2" t="s">
        <v>16</v>
      </c>
      <c r="E193" s="2" t="s">
        <v>17</v>
      </c>
      <c r="F193" s="2" t="s">
        <v>21</v>
      </c>
      <c r="G193" s="2" t="s">
        <v>22</v>
      </c>
      <c r="H193" s="4">
        <v>1242</v>
      </c>
      <c r="I193" s="2" t="s">
        <v>28</v>
      </c>
      <c r="J193" s="6" t="s">
        <v>15</v>
      </c>
    </row>
    <row r="194" spans="1:10" x14ac:dyDescent="0.3">
      <c r="A194" s="5">
        <v>2026</v>
      </c>
      <c r="B194" s="2" t="s">
        <v>94</v>
      </c>
      <c r="C194" s="3">
        <v>46041</v>
      </c>
      <c r="D194" s="2" t="s">
        <v>16</v>
      </c>
      <c r="E194" s="2" t="s">
        <v>23</v>
      </c>
      <c r="F194" s="2" t="s">
        <v>24</v>
      </c>
      <c r="G194" s="2" t="s">
        <v>51</v>
      </c>
      <c r="H194" s="4">
        <v>3501</v>
      </c>
      <c r="I194" s="2" t="s">
        <v>20</v>
      </c>
      <c r="J194" s="6" t="s">
        <v>15</v>
      </c>
    </row>
    <row r="195" spans="1:10" x14ac:dyDescent="0.3">
      <c r="A195" s="5">
        <v>2026</v>
      </c>
      <c r="B195" s="2" t="s">
        <v>94</v>
      </c>
      <c r="C195" s="3">
        <v>46028</v>
      </c>
      <c r="D195" s="2" t="s">
        <v>16</v>
      </c>
      <c r="E195" s="2" t="s">
        <v>23</v>
      </c>
      <c r="F195" s="2" t="s">
        <v>26</v>
      </c>
      <c r="G195" s="2" t="s">
        <v>80</v>
      </c>
      <c r="H195" s="4">
        <v>1896.3</v>
      </c>
      <c r="I195" s="2" t="s">
        <v>28</v>
      </c>
      <c r="J195" s="6" t="s">
        <v>15</v>
      </c>
    </row>
    <row r="196" spans="1:10" x14ac:dyDescent="0.3">
      <c r="A196" s="5">
        <v>2026</v>
      </c>
      <c r="B196" s="2" t="s">
        <v>94</v>
      </c>
      <c r="C196" s="3">
        <v>46046</v>
      </c>
      <c r="D196" s="2" t="s">
        <v>16</v>
      </c>
      <c r="E196" s="2" t="s">
        <v>23</v>
      </c>
      <c r="F196" s="2" t="s">
        <v>29</v>
      </c>
      <c r="G196" s="2" t="s">
        <v>80</v>
      </c>
      <c r="H196" s="4">
        <v>971.1</v>
      </c>
      <c r="I196" s="2" t="s">
        <v>14</v>
      </c>
      <c r="J196" s="6" t="s">
        <v>15</v>
      </c>
    </row>
    <row r="197" spans="1:10" x14ac:dyDescent="0.3">
      <c r="A197" s="5">
        <v>2026</v>
      </c>
      <c r="B197" s="2" t="s">
        <v>94</v>
      </c>
      <c r="C197" s="3">
        <v>46030</v>
      </c>
      <c r="D197" s="2" t="s">
        <v>16</v>
      </c>
      <c r="E197" s="2" t="s">
        <v>31</v>
      </c>
      <c r="F197" s="2" t="s">
        <v>32</v>
      </c>
      <c r="G197" s="2" t="s">
        <v>33</v>
      </c>
      <c r="H197" s="4">
        <v>1386.9</v>
      </c>
      <c r="I197" s="2" t="s">
        <v>28</v>
      </c>
      <c r="J197" s="6" t="s">
        <v>15</v>
      </c>
    </row>
    <row r="198" spans="1:10" x14ac:dyDescent="0.3">
      <c r="A198" s="5">
        <v>2026</v>
      </c>
      <c r="B198" s="2" t="s">
        <v>94</v>
      </c>
      <c r="C198" s="3">
        <v>46037</v>
      </c>
      <c r="D198" s="2" t="s">
        <v>16</v>
      </c>
      <c r="E198" s="2" t="s">
        <v>31</v>
      </c>
      <c r="F198" s="2" t="s">
        <v>34</v>
      </c>
      <c r="G198" s="2" t="s">
        <v>35</v>
      </c>
      <c r="H198" s="4">
        <v>764.1</v>
      </c>
      <c r="I198" s="2" t="s">
        <v>14</v>
      </c>
      <c r="J198" s="6" t="s">
        <v>15</v>
      </c>
    </row>
    <row r="199" spans="1:10" x14ac:dyDescent="0.3">
      <c r="A199" s="5">
        <v>2026</v>
      </c>
      <c r="B199" s="2" t="s">
        <v>94</v>
      </c>
      <c r="C199" s="3">
        <v>46038</v>
      </c>
      <c r="D199" s="2" t="s">
        <v>16</v>
      </c>
      <c r="E199" s="2" t="s">
        <v>31</v>
      </c>
      <c r="F199" s="2" t="s">
        <v>36</v>
      </c>
      <c r="G199" s="2" t="s">
        <v>82</v>
      </c>
      <c r="H199" s="4">
        <v>378</v>
      </c>
      <c r="I199" s="2" t="s">
        <v>20</v>
      </c>
      <c r="J199" s="6" t="s">
        <v>15</v>
      </c>
    </row>
    <row r="200" spans="1:10" x14ac:dyDescent="0.3">
      <c r="A200" s="5">
        <v>2026</v>
      </c>
      <c r="B200" s="2" t="s">
        <v>94</v>
      </c>
      <c r="C200" s="3">
        <v>46030</v>
      </c>
      <c r="D200" s="2" t="s">
        <v>16</v>
      </c>
      <c r="E200" s="2" t="s">
        <v>38</v>
      </c>
      <c r="F200" s="2" t="s">
        <v>39</v>
      </c>
      <c r="G200" s="2" t="s">
        <v>40</v>
      </c>
      <c r="H200" s="4">
        <v>1421.1</v>
      </c>
      <c r="I200" s="2" t="s">
        <v>28</v>
      </c>
      <c r="J200" s="6" t="s">
        <v>15</v>
      </c>
    </row>
    <row r="201" spans="1:10" x14ac:dyDescent="0.3">
      <c r="A201" s="5">
        <v>2026</v>
      </c>
      <c r="B201" s="2" t="s">
        <v>94</v>
      </c>
      <c r="C201" s="3">
        <v>46048</v>
      </c>
      <c r="D201" s="2" t="s">
        <v>16</v>
      </c>
      <c r="E201" s="2" t="s">
        <v>38</v>
      </c>
      <c r="F201" s="2" t="s">
        <v>41</v>
      </c>
      <c r="G201" s="2" t="s">
        <v>83</v>
      </c>
      <c r="H201" s="4">
        <v>457.2</v>
      </c>
      <c r="I201" s="2" t="s">
        <v>14</v>
      </c>
      <c r="J201" s="6" t="s">
        <v>15</v>
      </c>
    </row>
    <row r="202" spans="1:10" x14ac:dyDescent="0.3">
      <c r="A202" s="5">
        <v>2026</v>
      </c>
      <c r="B202" s="2" t="s">
        <v>94</v>
      </c>
      <c r="C202" s="3">
        <v>46036</v>
      </c>
      <c r="D202" s="2" t="s">
        <v>16</v>
      </c>
      <c r="E202" s="2" t="s">
        <v>38</v>
      </c>
      <c r="F202" s="2" t="s">
        <v>43</v>
      </c>
      <c r="G202" s="2" t="s">
        <v>44</v>
      </c>
      <c r="H202" s="4">
        <v>320.39999999999998</v>
      </c>
      <c r="I202" s="2" t="s">
        <v>20</v>
      </c>
      <c r="J202" s="6" t="s">
        <v>15</v>
      </c>
    </row>
    <row r="203" spans="1:10" x14ac:dyDescent="0.3">
      <c r="A203" s="5">
        <v>2026</v>
      </c>
      <c r="B203" s="2" t="s">
        <v>94</v>
      </c>
      <c r="C203" s="3">
        <v>46035</v>
      </c>
      <c r="D203" s="2" t="s">
        <v>16</v>
      </c>
      <c r="E203" s="2" t="s">
        <v>38</v>
      </c>
      <c r="F203" s="2" t="s">
        <v>45</v>
      </c>
      <c r="G203" s="2" t="s">
        <v>46</v>
      </c>
      <c r="H203" s="4">
        <v>385.2</v>
      </c>
      <c r="I203" s="2" t="s">
        <v>28</v>
      </c>
      <c r="J203" s="6" t="s">
        <v>15</v>
      </c>
    </row>
    <row r="204" spans="1:10" x14ac:dyDescent="0.3">
      <c r="A204" s="5">
        <v>2026</v>
      </c>
      <c r="B204" s="2" t="s">
        <v>94</v>
      </c>
      <c r="C204" s="3">
        <v>46050</v>
      </c>
      <c r="D204" s="2" t="s">
        <v>16</v>
      </c>
      <c r="E204" s="2" t="s">
        <v>47</v>
      </c>
      <c r="F204" s="2" t="s">
        <v>48</v>
      </c>
      <c r="G204" s="2" t="s">
        <v>84</v>
      </c>
      <c r="H204" s="4">
        <v>1663.2</v>
      </c>
      <c r="I204" s="2" t="s">
        <v>14</v>
      </c>
      <c r="J204" s="6" t="s">
        <v>15</v>
      </c>
    </row>
    <row r="205" spans="1:10" x14ac:dyDescent="0.3">
      <c r="A205" s="5">
        <v>2026</v>
      </c>
      <c r="B205" s="2" t="s">
        <v>94</v>
      </c>
      <c r="C205" s="3">
        <v>46047</v>
      </c>
      <c r="D205" s="2" t="s">
        <v>16</v>
      </c>
      <c r="E205" s="2" t="s">
        <v>47</v>
      </c>
      <c r="F205" s="2" t="s">
        <v>50</v>
      </c>
      <c r="G205" s="2" t="s">
        <v>85</v>
      </c>
      <c r="H205" s="4">
        <v>1003.5</v>
      </c>
      <c r="I205" s="2" t="s">
        <v>28</v>
      </c>
      <c r="J205" s="6" t="s">
        <v>15</v>
      </c>
    </row>
    <row r="206" spans="1:10" x14ac:dyDescent="0.3">
      <c r="A206" s="5">
        <v>2026</v>
      </c>
      <c r="B206" s="2" t="s">
        <v>94</v>
      </c>
      <c r="C206" s="3">
        <v>46031</v>
      </c>
      <c r="D206" s="2" t="s">
        <v>16</v>
      </c>
      <c r="E206" s="2" t="s">
        <v>52</v>
      </c>
      <c r="F206" s="2" t="s">
        <v>53</v>
      </c>
      <c r="G206" s="2" t="s">
        <v>54</v>
      </c>
      <c r="H206" s="4">
        <v>522.9</v>
      </c>
      <c r="I206" s="2" t="s">
        <v>28</v>
      </c>
      <c r="J206" s="6" t="s">
        <v>15</v>
      </c>
    </row>
    <row r="207" spans="1:10" x14ac:dyDescent="0.3">
      <c r="A207" s="5">
        <v>2026</v>
      </c>
      <c r="B207" s="2" t="s">
        <v>94</v>
      </c>
      <c r="C207" s="3">
        <v>46039</v>
      </c>
      <c r="D207" s="2" t="s">
        <v>16</v>
      </c>
      <c r="E207" s="2" t="s">
        <v>52</v>
      </c>
      <c r="F207" s="2" t="s">
        <v>55</v>
      </c>
      <c r="G207" s="2" t="s">
        <v>56</v>
      </c>
      <c r="H207" s="4">
        <v>239.4</v>
      </c>
      <c r="I207" s="2" t="s">
        <v>28</v>
      </c>
      <c r="J207" s="6" t="s">
        <v>15</v>
      </c>
    </row>
    <row r="208" spans="1:10" x14ac:dyDescent="0.3">
      <c r="A208" s="5">
        <v>2026</v>
      </c>
      <c r="B208" s="2" t="s">
        <v>94</v>
      </c>
      <c r="C208" s="3">
        <v>46034</v>
      </c>
      <c r="D208" s="2" t="s">
        <v>16</v>
      </c>
      <c r="E208" s="2" t="s">
        <v>52</v>
      </c>
      <c r="F208" s="2" t="s">
        <v>57</v>
      </c>
      <c r="G208" s="2" t="s">
        <v>58</v>
      </c>
      <c r="H208" s="4">
        <v>266.39999999999998</v>
      </c>
      <c r="I208" s="2" t="s">
        <v>14</v>
      </c>
      <c r="J208" s="6" t="s">
        <v>15</v>
      </c>
    </row>
    <row r="209" spans="1:10" x14ac:dyDescent="0.3">
      <c r="A209" s="5">
        <v>2026</v>
      </c>
      <c r="B209" s="2" t="s">
        <v>94</v>
      </c>
      <c r="C209" s="3">
        <v>46029</v>
      </c>
      <c r="D209" s="2" t="s">
        <v>16</v>
      </c>
      <c r="E209" s="2" t="s">
        <v>52</v>
      </c>
      <c r="F209" s="2" t="s">
        <v>59</v>
      </c>
      <c r="G209" s="2" t="s">
        <v>95</v>
      </c>
      <c r="H209" s="4">
        <v>824.4</v>
      </c>
      <c r="I209" s="2" t="s">
        <v>20</v>
      </c>
      <c r="J209" s="6" t="s">
        <v>15</v>
      </c>
    </row>
    <row r="210" spans="1:10" x14ac:dyDescent="0.3">
      <c r="A210" s="5">
        <v>2026</v>
      </c>
      <c r="B210" s="2" t="s">
        <v>94</v>
      </c>
      <c r="C210" s="3">
        <v>46043</v>
      </c>
      <c r="D210" s="2" t="s">
        <v>16</v>
      </c>
      <c r="E210" s="2" t="s">
        <v>61</v>
      </c>
      <c r="F210" s="2" t="s">
        <v>62</v>
      </c>
      <c r="G210" s="2" t="s">
        <v>63</v>
      </c>
      <c r="H210" s="4">
        <v>1143.9000000000001</v>
      </c>
      <c r="I210" s="2" t="s">
        <v>28</v>
      </c>
      <c r="J210" s="6" t="s">
        <v>15</v>
      </c>
    </row>
    <row r="211" spans="1:10" x14ac:dyDescent="0.3">
      <c r="A211" s="5">
        <v>2026</v>
      </c>
      <c r="B211" s="2" t="s">
        <v>94</v>
      </c>
      <c r="C211" s="3">
        <v>46042</v>
      </c>
      <c r="D211" s="2" t="s">
        <v>16</v>
      </c>
      <c r="E211" s="2" t="s">
        <v>61</v>
      </c>
      <c r="F211" s="2" t="s">
        <v>64</v>
      </c>
      <c r="G211" s="2" t="s">
        <v>63</v>
      </c>
      <c r="H211" s="4">
        <v>1373.4</v>
      </c>
      <c r="I211" s="2" t="s">
        <v>20</v>
      </c>
      <c r="J211" s="6" t="s">
        <v>15</v>
      </c>
    </row>
    <row r="212" spans="1:10" x14ac:dyDescent="0.3">
      <c r="A212" s="5">
        <v>2026</v>
      </c>
      <c r="B212" s="2" t="s">
        <v>94</v>
      </c>
      <c r="C212" s="3">
        <v>46044</v>
      </c>
      <c r="D212" s="2" t="s">
        <v>16</v>
      </c>
      <c r="E212" s="2" t="s">
        <v>65</v>
      </c>
      <c r="F212" s="2" t="s">
        <v>66</v>
      </c>
      <c r="G212" s="2" t="s">
        <v>67</v>
      </c>
      <c r="H212" s="4">
        <v>3888.9</v>
      </c>
      <c r="I212" s="2" t="s">
        <v>20</v>
      </c>
      <c r="J212" s="6" t="s">
        <v>15</v>
      </c>
    </row>
    <row r="213" spans="1:10" x14ac:dyDescent="0.3">
      <c r="A213" s="5">
        <v>2026</v>
      </c>
      <c r="B213" s="2" t="s">
        <v>94</v>
      </c>
      <c r="C213" s="3">
        <v>46039</v>
      </c>
      <c r="D213" s="2" t="s">
        <v>68</v>
      </c>
      <c r="E213" s="2" t="s">
        <v>69</v>
      </c>
      <c r="F213" s="2" t="s">
        <v>70</v>
      </c>
      <c r="G213" s="2" t="s">
        <v>71</v>
      </c>
      <c r="H213" s="4">
        <v>4840</v>
      </c>
      <c r="I213" s="2" t="s">
        <v>72</v>
      </c>
      <c r="J213" s="6" t="s">
        <v>15</v>
      </c>
    </row>
    <row r="214" spans="1:10" x14ac:dyDescent="0.3">
      <c r="A214" s="5">
        <v>2026</v>
      </c>
      <c r="B214" s="2" t="s">
        <v>94</v>
      </c>
      <c r="C214" s="3">
        <v>46026</v>
      </c>
      <c r="D214" s="2" t="s">
        <v>68</v>
      </c>
      <c r="E214" s="2" t="s">
        <v>69</v>
      </c>
      <c r="F214" s="2" t="s">
        <v>73</v>
      </c>
      <c r="G214" s="2" t="s">
        <v>71</v>
      </c>
      <c r="H214" s="4">
        <v>3025</v>
      </c>
      <c r="I214" s="2" t="s">
        <v>72</v>
      </c>
      <c r="J214" s="6" t="s">
        <v>15</v>
      </c>
    </row>
    <row r="215" spans="1:10" x14ac:dyDescent="0.3">
      <c r="A215" s="5">
        <v>2026</v>
      </c>
      <c r="B215" s="2" t="s">
        <v>94</v>
      </c>
      <c r="C215" s="3">
        <v>46037</v>
      </c>
      <c r="D215" s="2" t="s">
        <v>68</v>
      </c>
      <c r="E215" s="2" t="s">
        <v>69</v>
      </c>
      <c r="F215" s="2" t="s">
        <v>74</v>
      </c>
      <c r="G215" s="2" t="s">
        <v>75</v>
      </c>
      <c r="H215" s="4">
        <v>1815</v>
      </c>
      <c r="I215" s="2" t="s">
        <v>72</v>
      </c>
      <c r="J215" s="6" t="s">
        <v>15</v>
      </c>
    </row>
    <row r="216" spans="1:10" x14ac:dyDescent="0.3">
      <c r="A216" s="5">
        <v>2026</v>
      </c>
      <c r="B216" s="2" t="s">
        <v>94</v>
      </c>
      <c r="C216" s="3">
        <v>46031</v>
      </c>
      <c r="D216" s="2" t="s">
        <v>68</v>
      </c>
      <c r="E216" s="2" t="s">
        <v>69</v>
      </c>
      <c r="F216" s="2" t="s">
        <v>76</v>
      </c>
      <c r="G216" s="2" t="s">
        <v>77</v>
      </c>
      <c r="H216" s="4">
        <v>1009</v>
      </c>
      <c r="I216" s="2" t="s">
        <v>72</v>
      </c>
      <c r="J216" s="6" t="s">
        <v>15</v>
      </c>
    </row>
    <row r="217" spans="1:10" x14ac:dyDescent="0.3">
      <c r="A217" s="5">
        <v>2026</v>
      </c>
      <c r="B217" s="2" t="s">
        <v>96</v>
      </c>
      <c r="C217" s="3">
        <v>46054</v>
      </c>
      <c r="D217" s="2" t="s">
        <v>11</v>
      </c>
      <c r="E217" s="2" t="s">
        <v>12</v>
      </c>
      <c r="F217" s="2" t="s">
        <v>12</v>
      </c>
      <c r="G217" s="2" t="s">
        <v>13</v>
      </c>
      <c r="H217" s="4">
        <v>81563</v>
      </c>
      <c r="I217" s="2" t="s">
        <v>14</v>
      </c>
      <c r="J217" s="6" t="s">
        <v>15</v>
      </c>
    </row>
    <row r="218" spans="1:10" x14ac:dyDescent="0.3">
      <c r="A218" s="5">
        <v>2026</v>
      </c>
      <c r="B218" s="2" t="s">
        <v>96</v>
      </c>
      <c r="C218" s="3">
        <v>46075</v>
      </c>
      <c r="D218" s="2" t="s">
        <v>16</v>
      </c>
      <c r="E218" s="2" t="s">
        <v>17</v>
      </c>
      <c r="F218" s="2" t="s">
        <v>18</v>
      </c>
      <c r="G218" s="2" t="s">
        <v>19</v>
      </c>
      <c r="H218" s="4">
        <v>19402.2</v>
      </c>
      <c r="I218" s="2" t="s">
        <v>14</v>
      </c>
      <c r="J218" s="6" t="s">
        <v>15</v>
      </c>
    </row>
    <row r="219" spans="1:10" x14ac:dyDescent="0.3">
      <c r="A219" s="5">
        <v>2026</v>
      </c>
      <c r="B219" s="2" t="s">
        <v>96</v>
      </c>
      <c r="C219" s="3">
        <v>46056</v>
      </c>
      <c r="D219" s="2" t="s">
        <v>16</v>
      </c>
      <c r="E219" s="2" t="s">
        <v>17</v>
      </c>
      <c r="F219" s="2" t="s">
        <v>21</v>
      </c>
      <c r="G219" s="2" t="s">
        <v>22</v>
      </c>
      <c r="H219" s="4">
        <v>1726.2</v>
      </c>
      <c r="I219" s="2" t="s">
        <v>20</v>
      </c>
      <c r="J219" s="6" t="s">
        <v>15</v>
      </c>
    </row>
    <row r="220" spans="1:10" x14ac:dyDescent="0.3">
      <c r="A220" s="5">
        <v>2026</v>
      </c>
      <c r="B220" s="2" t="s">
        <v>96</v>
      </c>
      <c r="C220" s="3">
        <v>46061</v>
      </c>
      <c r="D220" s="2" t="s">
        <v>16</v>
      </c>
      <c r="E220" s="2" t="s">
        <v>23</v>
      </c>
      <c r="F220" s="2" t="s">
        <v>24</v>
      </c>
      <c r="G220" s="2" t="s">
        <v>51</v>
      </c>
      <c r="H220" s="4">
        <v>5926.5</v>
      </c>
      <c r="I220" s="2" t="s">
        <v>14</v>
      </c>
      <c r="J220" s="6" t="s">
        <v>15</v>
      </c>
    </row>
    <row r="221" spans="1:10" x14ac:dyDescent="0.3">
      <c r="A221" s="5">
        <v>2026</v>
      </c>
      <c r="B221" s="2" t="s">
        <v>96</v>
      </c>
      <c r="C221" s="3">
        <v>46059</v>
      </c>
      <c r="D221" s="2" t="s">
        <v>16</v>
      </c>
      <c r="E221" s="2" t="s">
        <v>23</v>
      </c>
      <c r="F221" s="2" t="s">
        <v>26</v>
      </c>
      <c r="G221" s="2" t="s">
        <v>80</v>
      </c>
      <c r="H221" s="4">
        <v>2313.9</v>
      </c>
      <c r="I221" s="2" t="s">
        <v>20</v>
      </c>
      <c r="J221" s="6" t="s">
        <v>15</v>
      </c>
    </row>
    <row r="222" spans="1:10" x14ac:dyDescent="0.3">
      <c r="A222" s="5">
        <v>2026</v>
      </c>
      <c r="B222" s="2" t="s">
        <v>96</v>
      </c>
      <c r="C222" s="3">
        <v>46070</v>
      </c>
      <c r="D222" s="2" t="s">
        <v>16</v>
      </c>
      <c r="E222" s="2" t="s">
        <v>23</v>
      </c>
      <c r="F222" s="2" t="s">
        <v>29</v>
      </c>
      <c r="G222" s="2" t="s">
        <v>80</v>
      </c>
      <c r="H222" s="4">
        <v>1899</v>
      </c>
      <c r="I222" s="2" t="s">
        <v>14</v>
      </c>
      <c r="J222" s="6" t="s">
        <v>15</v>
      </c>
    </row>
    <row r="223" spans="1:10" x14ac:dyDescent="0.3">
      <c r="A223" s="5">
        <v>2026</v>
      </c>
      <c r="B223" s="2" t="s">
        <v>96</v>
      </c>
      <c r="C223" s="3">
        <v>46061</v>
      </c>
      <c r="D223" s="2" t="s">
        <v>16</v>
      </c>
      <c r="E223" s="2" t="s">
        <v>31</v>
      </c>
      <c r="F223" s="2" t="s">
        <v>32</v>
      </c>
      <c r="G223" s="2" t="s">
        <v>92</v>
      </c>
      <c r="H223" s="4">
        <v>2331</v>
      </c>
      <c r="I223" s="2" t="s">
        <v>14</v>
      </c>
      <c r="J223" s="6" t="s">
        <v>15</v>
      </c>
    </row>
    <row r="224" spans="1:10" x14ac:dyDescent="0.3">
      <c r="A224" s="5">
        <v>2026</v>
      </c>
      <c r="B224" s="2" t="s">
        <v>96</v>
      </c>
      <c r="C224" s="3">
        <v>46063</v>
      </c>
      <c r="D224" s="2" t="s">
        <v>16</v>
      </c>
      <c r="E224" s="2" t="s">
        <v>31</v>
      </c>
      <c r="F224" s="2" t="s">
        <v>34</v>
      </c>
      <c r="G224" s="2" t="s">
        <v>35</v>
      </c>
      <c r="H224" s="4">
        <v>802.8</v>
      </c>
      <c r="I224" s="2" t="s">
        <v>20</v>
      </c>
      <c r="J224" s="6" t="s">
        <v>15</v>
      </c>
    </row>
    <row r="225" spans="1:10" x14ac:dyDescent="0.3">
      <c r="A225" s="5">
        <v>2026</v>
      </c>
      <c r="B225" s="2" t="s">
        <v>96</v>
      </c>
      <c r="C225" s="3">
        <v>46074</v>
      </c>
      <c r="D225" s="2" t="s">
        <v>16</v>
      </c>
      <c r="E225" s="2" t="s">
        <v>31</v>
      </c>
      <c r="F225" s="2" t="s">
        <v>36</v>
      </c>
      <c r="G225" s="2" t="s">
        <v>37</v>
      </c>
      <c r="H225" s="4">
        <v>781.2</v>
      </c>
      <c r="I225" s="2" t="s">
        <v>20</v>
      </c>
      <c r="J225" s="6" t="s">
        <v>15</v>
      </c>
    </row>
    <row r="226" spans="1:10" x14ac:dyDescent="0.3">
      <c r="A226" s="5">
        <v>2026</v>
      </c>
      <c r="B226" s="2" t="s">
        <v>96</v>
      </c>
      <c r="C226" s="3">
        <v>46064</v>
      </c>
      <c r="D226" s="2" t="s">
        <v>16</v>
      </c>
      <c r="E226" s="2" t="s">
        <v>38</v>
      </c>
      <c r="F226" s="2" t="s">
        <v>39</v>
      </c>
      <c r="G226" s="2" t="s">
        <v>40</v>
      </c>
      <c r="H226" s="4">
        <v>1363.5</v>
      </c>
      <c r="I226" s="2" t="s">
        <v>14</v>
      </c>
      <c r="J226" s="6" t="s">
        <v>15</v>
      </c>
    </row>
    <row r="227" spans="1:10" x14ac:dyDescent="0.3">
      <c r="A227" s="5">
        <v>2026</v>
      </c>
      <c r="B227" s="2" t="s">
        <v>96</v>
      </c>
      <c r="C227" s="3">
        <v>46055</v>
      </c>
      <c r="D227" s="2" t="s">
        <v>16</v>
      </c>
      <c r="E227" s="2" t="s">
        <v>38</v>
      </c>
      <c r="F227" s="2" t="s">
        <v>41</v>
      </c>
      <c r="G227" s="2" t="s">
        <v>42</v>
      </c>
      <c r="H227" s="4">
        <v>693</v>
      </c>
      <c r="I227" s="2" t="s">
        <v>14</v>
      </c>
      <c r="J227" s="6" t="s">
        <v>15</v>
      </c>
    </row>
    <row r="228" spans="1:10" x14ac:dyDescent="0.3">
      <c r="A228" s="5">
        <v>2026</v>
      </c>
      <c r="B228" s="2" t="s">
        <v>96</v>
      </c>
      <c r="C228" s="3">
        <v>46076</v>
      </c>
      <c r="D228" s="2" t="s">
        <v>16</v>
      </c>
      <c r="E228" s="2" t="s">
        <v>38</v>
      </c>
      <c r="F228" s="2" t="s">
        <v>43</v>
      </c>
      <c r="G228" s="2" t="s">
        <v>44</v>
      </c>
      <c r="H228" s="4">
        <v>485.1</v>
      </c>
      <c r="I228" s="2" t="s">
        <v>28</v>
      </c>
      <c r="J228" s="6" t="s">
        <v>15</v>
      </c>
    </row>
    <row r="229" spans="1:10" x14ac:dyDescent="0.3">
      <c r="A229" s="5">
        <v>2026</v>
      </c>
      <c r="B229" s="2" t="s">
        <v>96</v>
      </c>
      <c r="C229" s="3">
        <v>46077</v>
      </c>
      <c r="D229" s="2" t="s">
        <v>16</v>
      </c>
      <c r="E229" s="2" t="s">
        <v>38</v>
      </c>
      <c r="F229" s="2" t="s">
        <v>45</v>
      </c>
      <c r="G229" s="2" t="s">
        <v>46</v>
      </c>
      <c r="H229" s="4">
        <v>651.6</v>
      </c>
      <c r="I229" s="2" t="s">
        <v>20</v>
      </c>
      <c r="J229" s="6" t="s">
        <v>15</v>
      </c>
    </row>
    <row r="230" spans="1:10" x14ac:dyDescent="0.3">
      <c r="A230" s="5">
        <v>2026</v>
      </c>
      <c r="B230" s="2" t="s">
        <v>96</v>
      </c>
      <c r="C230" s="3">
        <v>46073</v>
      </c>
      <c r="D230" s="2" t="s">
        <v>16</v>
      </c>
      <c r="E230" s="2" t="s">
        <v>47</v>
      </c>
      <c r="F230" s="2" t="s">
        <v>48</v>
      </c>
      <c r="G230" s="2" t="s">
        <v>49</v>
      </c>
      <c r="H230" s="4">
        <v>1094.4000000000001</v>
      </c>
      <c r="I230" s="2" t="s">
        <v>20</v>
      </c>
      <c r="J230" s="6" t="s">
        <v>15</v>
      </c>
    </row>
    <row r="231" spans="1:10" x14ac:dyDescent="0.3">
      <c r="A231" s="5">
        <v>2026</v>
      </c>
      <c r="B231" s="2" t="s">
        <v>96</v>
      </c>
      <c r="C231" s="3">
        <v>46077</v>
      </c>
      <c r="D231" s="2" t="s">
        <v>16</v>
      </c>
      <c r="E231" s="2" t="s">
        <v>47</v>
      </c>
      <c r="F231" s="2" t="s">
        <v>50</v>
      </c>
      <c r="G231" s="2" t="s">
        <v>51</v>
      </c>
      <c r="H231" s="4">
        <v>1596.6</v>
      </c>
      <c r="I231" s="2" t="s">
        <v>14</v>
      </c>
      <c r="J231" s="6" t="s">
        <v>15</v>
      </c>
    </row>
    <row r="232" spans="1:10" x14ac:dyDescent="0.3">
      <c r="A232" s="5">
        <v>2026</v>
      </c>
      <c r="B232" s="2" t="s">
        <v>96</v>
      </c>
      <c r="C232" s="3">
        <v>46074</v>
      </c>
      <c r="D232" s="2" t="s">
        <v>16</v>
      </c>
      <c r="E232" s="2" t="s">
        <v>52</v>
      </c>
      <c r="F232" s="2" t="s">
        <v>53</v>
      </c>
      <c r="G232" s="2" t="s">
        <v>86</v>
      </c>
      <c r="H232" s="4">
        <v>383.4</v>
      </c>
      <c r="I232" s="2" t="s">
        <v>14</v>
      </c>
      <c r="J232" s="6" t="s">
        <v>15</v>
      </c>
    </row>
    <row r="233" spans="1:10" x14ac:dyDescent="0.3">
      <c r="A233" s="5">
        <v>2026</v>
      </c>
      <c r="B233" s="2" t="s">
        <v>96</v>
      </c>
      <c r="C233" s="3">
        <v>46080</v>
      </c>
      <c r="D233" s="2" t="s">
        <v>16</v>
      </c>
      <c r="E233" s="2" t="s">
        <v>52</v>
      </c>
      <c r="F233" s="2" t="s">
        <v>55</v>
      </c>
      <c r="G233" s="2" t="s">
        <v>56</v>
      </c>
      <c r="H233" s="4">
        <v>614.70000000000005</v>
      </c>
      <c r="I233" s="2" t="s">
        <v>28</v>
      </c>
      <c r="J233" s="6" t="s">
        <v>15</v>
      </c>
    </row>
    <row r="234" spans="1:10" x14ac:dyDescent="0.3">
      <c r="A234" s="5">
        <v>2026</v>
      </c>
      <c r="B234" s="2" t="s">
        <v>96</v>
      </c>
      <c r="C234" s="3">
        <v>46072</v>
      </c>
      <c r="D234" s="2" t="s">
        <v>16</v>
      </c>
      <c r="E234" s="2" t="s">
        <v>52</v>
      </c>
      <c r="F234" s="2" t="s">
        <v>57</v>
      </c>
      <c r="G234" s="2" t="s">
        <v>58</v>
      </c>
      <c r="H234" s="4">
        <v>456.3</v>
      </c>
      <c r="I234" s="2" t="s">
        <v>14</v>
      </c>
      <c r="J234" s="6" t="s">
        <v>15</v>
      </c>
    </row>
    <row r="235" spans="1:10" x14ac:dyDescent="0.3">
      <c r="A235" s="5">
        <v>2026</v>
      </c>
      <c r="B235" s="2" t="s">
        <v>96</v>
      </c>
      <c r="C235" s="3">
        <v>46066</v>
      </c>
      <c r="D235" s="2" t="s">
        <v>16</v>
      </c>
      <c r="E235" s="2" t="s">
        <v>52</v>
      </c>
      <c r="F235" s="2" t="s">
        <v>59</v>
      </c>
      <c r="G235" s="2" t="s">
        <v>60</v>
      </c>
      <c r="H235" s="4">
        <v>636.29999999999995</v>
      </c>
      <c r="I235" s="2" t="s">
        <v>14</v>
      </c>
      <c r="J235" s="6" t="s">
        <v>15</v>
      </c>
    </row>
    <row r="236" spans="1:10" x14ac:dyDescent="0.3">
      <c r="A236" s="5">
        <v>2026</v>
      </c>
      <c r="B236" s="2" t="s">
        <v>96</v>
      </c>
      <c r="C236" s="3">
        <v>46075</v>
      </c>
      <c r="D236" s="2" t="s">
        <v>16</v>
      </c>
      <c r="E236" s="2" t="s">
        <v>61</v>
      </c>
      <c r="F236" s="2" t="s">
        <v>62</v>
      </c>
      <c r="G236" s="2" t="s">
        <v>63</v>
      </c>
      <c r="H236" s="4">
        <v>1732.5</v>
      </c>
      <c r="I236" s="2" t="s">
        <v>20</v>
      </c>
      <c r="J236" s="6" t="s">
        <v>15</v>
      </c>
    </row>
    <row r="237" spans="1:10" x14ac:dyDescent="0.3">
      <c r="A237" s="5">
        <v>2026</v>
      </c>
      <c r="B237" s="2" t="s">
        <v>96</v>
      </c>
      <c r="C237" s="3">
        <v>46068</v>
      </c>
      <c r="D237" s="2" t="s">
        <v>16</v>
      </c>
      <c r="E237" s="2" t="s">
        <v>61</v>
      </c>
      <c r="F237" s="2" t="s">
        <v>64</v>
      </c>
      <c r="G237" s="2" t="s">
        <v>63</v>
      </c>
      <c r="H237" s="4">
        <v>2079</v>
      </c>
      <c r="I237" s="2" t="s">
        <v>20</v>
      </c>
      <c r="J237" s="6" t="s">
        <v>15</v>
      </c>
    </row>
    <row r="238" spans="1:10" x14ac:dyDescent="0.3">
      <c r="A238" s="5">
        <v>2026</v>
      </c>
      <c r="B238" s="2" t="s">
        <v>96</v>
      </c>
      <c r="C238" s="3">
        <v>46068</v>
      </c>
      <c r="D238" s="2" t="s">
        <v>16</v>
      </c>
      <c r="E238" s="2" t="s">
        <v>65</v>
      </c>
      <c r="F238" s="2" t="s">
        <v>66</v>
      </c>
      <c r="G238" s="2" t="s">
        <v>67</v>
      </c>
      <c r="H238" s="4">
        <v>5890.5</v>
      </c>
      <c r="I238" s="2" t="s">
        <v>14</v>
      </c>
      <c r="J238" s="6" t="s">
        <v>15</v>
      </c>
    </row>
    <row r="239" spans="1:10" x14ac:dyDescent="0.3">
      <c r="A239" s="5">
        <v>2026</v>
      </c>
      <c r="B239" s="2" t="s">
        <v>96</v>
      </c>
      <c r="C239" s="3">
        <v>46070</v>
      </c>
      <c r="D239" s="2" t="s">
        <v>68</v>
      </c>
      <c r="E239" s="2" t="s">
        <v>69</v>
      </c>
      <c r="F239" s="2" t="s">
        <v>70</v>
      </c>
      <c r="G239" s="2" t="s">
        <v>71</v>
      </c>
      <c r="H239" s="4">
        <v>7018</v>
      </c>
      <c r="I239" s="2" t="s">
        <v>72</v>
      </c>
      <c r="J239" s="6" t="s">
        <v>15</v>
      </c>
    </row>
    <row r="240" spans="1:10" x14ac:dyDescent="0.3">
      <c r="A240" s="5">
        <v>2026</v>
      </c>
      <c r="B240" s="2" t="s">
        <v>96</v>
      </c>
      <c r="C240" s="3">
        <v>46069</v>
      </c>
      <c r="D240" s="2" t="s">
        <v>68</v>
      </c>
      <c r="E240" s="2" t="s">
        <v>69</v>
      </c>
      <c r="F240" s="2" t="s">
        <v>73</v>
      </c>
      <c r="G240" s="2" t="s">
        <v>71</v>
      </c>
      <c r="H240" s="4">
        <v>4386</v>
      </c>
      <c r="I240" s="2" t="s">
        <v>72</v>
      </c>
      <c r="J240" s="6" t="s">
        <v>15</v>
      </c>
    </row>
    <row r="241" spans="1:10" x14ac:dyDescent="0.3">
      <c r="A241" s="5">
        <v>2026</v>
      </c>
      <c r="B241" s="2" t="s">
        <v>96</v>
      </c>
      <c r="C241" s="3">
        <v>46079</v>
      </c>
      <c r="D241" s="2" t="s">
        <v>68</v>
      </c>
      <c r="E241" s="2" t="s">
        <v>69</v>
      </c>
      <c r="F241" s="2" t="s">
        <v>74</v>
      </c>
      <c r="G241" s="2" t="s">
        <v>75</v>
      </c>
      <c r="H241" s="4">
        <v>2632</v>
      </c>
      <c r="I241" s="2" t="s">
        <v>72</v>
      </c>
      <c r="J241" s="6" t="s">
        <v>15</v>
      </c>
    </row>
    <row r="242" spans="1:10" x14ac:dyDescent="0.3">
      <c r="A242" s="5">
        <v>2026</v>
      </c>
      <c r="B242" s="2" t="s">
        <v>96</v>
      </c>
      <c r="C242" s="3">
        <v>46075</v>
      </c>
      <c r="D242" s="2" t="s">
        <v>68</v>
      </c>
      <c r="E242" s="2" t="s">
        <v>69</v>
      </c>
      <c r="F242" s="2" t="s">
        <v>76</v>
      </c>
      <c r="G242" s="2" t="s">
        <v>77</v>
      </c>
      <c r="H242" s="4">
        <v>1462</v>
      </c>
      <c r="I242" s="2" t="s">
        <v>72</v>
      </c>
      <c r="J242" s="6" t="s">
        <v>15</v>
      </c>
    </row>
    <row r="243" spans="1:10" x14ac:dyDescent="0.3">
      <c r="A243" s="5">
        <v>2026</v>
      </c>
      <c r="B243" s="2" t="s">
        <v>97</v>
      </c>
      <c r="C243" s="3">
        <v>46082</v>
      </c>
      <c r="D243" s="2" t="s">
        <v>11</v>
      </c>
      <c r="E243" s="2" t="s">
        <v>12</v>
      </c>
      <c r="F243" s="2" t="s">
        <v>12</v>
      </c>
      <c r="G243" s="2" t="s">
        <v>13</v>
      </c>
      <c r="H243" s="4">
        <v>89719</v>
      </c>
      <c r="I243" s="2" t="s">
        <v>14</v>
      </c>
      <c r="J243" s="6" t="s">
        <v>15</v>
      </c>
    </row>
    <row r="244" spans="1:10" x14ac:dyDescent="0.3">
      <c r="A244" s="5">
        <v>2026</v>
      </c>
      <c r="B244" s="2" t="s">
        <v>97</v>
      </c>
      <c r="C244" s="3">
        <v>46104</v>
      </c>
      <c r="D244" s="2" t="s">
        <v>16</v>
      </c>
      <c r="E244" s="2" t="s">
        <v>17</v>
      </c>
      <c r="F244" s="2" t="s">
        <v>18</v>
      </c>
      <c r="G244" s="2" t="s">
        <v>19</v>
      </c>
      <c r="H244" s="4">
        <v>20334.599999999999</v>
      </c>
      <c r="I244" s="2" t="s">
        <v>28</v>
      </c>
      <c r="J244" s="6" t="s">
        <v>15</v>
      </c>
    </row>
    <row r="245" spans="1:10" x14ac:dyDescent="0.3">
      <c r="A245" s="5">
        <v>2026</v>
      </c>
      <c r="B245" s="2" t="s">
        <v>97</v>
      </c>
      <c r="C245" s="3">
        <v>46083</v>
      </c>
      <c r="D245" s="2" t="s">
        <v>16</v>
      </c>
      <c r="E245" s="2" t="s">
        <v>17</v>
      </c>
      <c r="F245" s="2" t="s">
        <v>21</v>
      </c>
      <c r="G245" s="2" t="s">
        <v>22</v>
      </c>
      <c r="H245" s="4">
        <v>1955.7</v>
      </c>
      <c r="I245" s="2" t="s">
        <v>28</v>
      </c>
      <c r="J245" s="6" t="s">
        <v>15</v>
      </c>
    </row>
    <row r="246" spans="1:10" x14ac:dyDescent="0.3">
      <c r="A246" s="5">
        <v>2026</v>
      </c>
      <c r="B246" s="2" t="s">
        <v>97</v>
      </c>
      <c r="C246" s="3">
        <v>46088</v>
      </c>
      <c r="D246" s="2" t="s">
        <v>16</v>
      </c>
      <c r="E246" s="2" t="s">
        <v>23</v>
      </c>
      <c r="F246" s="2" t="s">
        <v>24</v>
      </c>
      <c r="G246" s="2" t="s">
        <v>79</v>
      </c>
      <c r="H246" s="4">
        <v>6845.4</v>
      </c>
      <c r="I246" s="2" t="s">
        <v>20</v>
      </c>
      <c r="J246" s="6" t="s">
        <v>15</v>
      </c>
    </row>
    <row r="247" spans="1:10" x14ac:dyDescent="0.3">
      <c r="A247" s="5">
        <v>2026</v>
      </c>
      <c r="B247" s="2" t="s">
        <v>97</v>
      </c>
      <c r="C247" s="3">
        <v>46094</v>
      </c>
      <c r="D247" s="2" t="s">
        <v>16</v>
      </c>
      <c r="E247" s="2" t="s">
        <v>23</v>
      </c>
      <c r="F247" s="2" t="s">
        <v>26</v>
      </c>
      <c r="G247" s="2" t="s">
        <v>30</v>
      </c>
      <c r="H247" s="4">
        <v>2395.8000000000002</v>
      </c>
      <c r="I247" s="2" t="s">
        <v>28</v>
      </c>
      <c r="J247" s="6" t="s">
        <v>15</v>
      </c>
    </row>
    <row r="248" spans="1:10" x14ac:dyDescent="0.3">
      <c r="A248" s="5">
        <v>2026</v>
      </c>
      <c r="B248" s="2" t="s">
        <v>97</v>
      </c>
      <c r="C248" s="3">
        <v>46091</v>
      </c>
      <c r="D248" s="2" t="s">
        <v>16</v>
      </c>
      <c r="E248" s="2" t="s">
        <v>23</v>
      </c>
      <c r="F248" s="2" t="s">
        <v>29</v>
      </c>
      <c r="G248" s="2" t="s">
        <v>30</v>
      </c>
      <c r="H248" s="4">
        <v>1350.9</v>
      </c>
      <c r="I248" s="2" t="s">
        <v>14</v>
      </c>
      <c r="J248" s="6" t="s">
        <v>15</v>
      </c>
    </row>
    <row r="249" spans="1:10" x14ac:dyDescent="0.3">
      <c r="A249" s="5">
        <v>2026</v>
      </c>
      <c r="B249" s="2" t="s">
        <v>97</v>
      </c>
      <c r="C249" s="3">
        <v>46083</v>
      </c>
      <c r="D249" s="2" t="s">
        <v>16</v>
      </c>
      <c r="E249" s="2" t="s">
        <v>31</v>
      </c>
      <c r="F249" s="2" t="s">
        <v>32</v>
      </c>
      <c r="G249" s="2" t="s">
        <v>81</v>
      </c>
      <c r="H249" s="4">
        <v>2180.6999999999998</v>
      </c>
      <c r="I249" s="2" t="s">
        <v>20</v>
      </c>
      <c r="J249" s="6" t="s">
        <v>15</v>
      </c>
    </row>
    <row r="250" spans="1:10" x14ac:dyDescent="0.3">
      <c r="A250" s="5">
        <v>2026</v>
      </c>
      <c r="B250" s="2" t="s">
        <v>97</v>
      </c>
      <c r="C250" s="3">
        <v>46085</v>
      </c>
      <c r="D250" s="2" t="s">
        <v>16</v>
      </c>
      <c r="E250" s="2" t="s">
        <v>31</v>
      </c>
      <c r="F250" s="2" t="s">
        <v>34</v>
      </c>
      <c r="G250" s="2" t="s">
        <v>98</v>
      </c>
      <c r="H250" s="4">
        <v>1271.7</v>
      </c>
      <c r="I250" s="2" t="s">
        <v>14</v>
      </c>
      <c r="J250" s="6" t="s">
        <v>15</v>
      </c>
    </row>
    <row r="251" spans="1:10" x14ac:dyDescent="0.3">
      <c r="A251" s="5">
        <v>2026</v>
      </c>
      <c r="B251" s="2" t="s">
        <v>97</v>
      </c>
      <c r="C251" s="3">
        <v>46096</v>
      </c>
      <c r="D251" s="2" t="s">
        <v>16</v>
      </c>
      <c r="E251" s="2" t="s">
        <v>31</v>
      </c>
      <c r="F251" s="2" t="s">
        <v>36</v>
      </c>
      <c r="G251" s="2" t="s">
        <v>82</v>
      </c>
      <c r="H251" s="4">
        <v>855.9</v>
      </c>
      <c r="I251" s="2" t="s">
        <v>14</v>
      </c>
      <c r="J251" s="6" t="s">
        <v>15</v>
      </c>
    </row>
    <row r="252" spans="1:10" x14ac:dyDescent="0.3">
      <c r="A252" s="5">
        <v>2026</v>
      </c>
      <c r="B252" s="2" t="s">
        <v>97</v>
      </c>
      <c r="C252" s="3">
        <v>46107</v>
      </c>
      <c r="D252" s="2" t="s">
        <v>16</v>
      </c>
      <c r="E252" s="2" t="s">
        <v>38</v>
      </c>
      <c r="F252" s="2" t="s">
        <v>39</v>
      </c>
      <c r="G252" s="2" t="s">
        <v>40</v>
      </c>
      <c r="H252" s="4">
        <v>1436.4</v>
      </c>
      <c r="I252" s="2" t="s">
        <v>14</v>
      </c>
      <c r="J252" s="6" t="s">
        <v>15</v>
      </c>
    </row>
    <row r="253" spans="1:10" x14ac:dyDescent="0.3">
      <c r="A253" s="5">
        <v>2026</v>
      </c>
      <c r="B253" s="2" t="s">
        <v>97</v>
      </c>
      <c r="C253" s="3">
        <v>46098</v>
      </c>
      <c r="D253" s="2" t="s">
        <v>16</v>
      </c>
      <c r="E253" s="2" t="s">
        <v>38</v>
      </c>
      <c r="F253" s="2" t="s">
        <v>41</v>
      </c>
      <c r="G253" s="2" t="s">
        <v>42</v>
      </c>
      <c r="H253" s="4">
        <v>726.3</v>
      </c>
      <c r="I253" s="2" t="s">
        <v>28</v>
      </c>
      <c r="J253" s="6" t="s">
        <v>15</v>
      </c>
    </row>
    <row r="254" spans="1:10" x14ac:dyDescent="0.3">
      <c r="A254" s="5">
        <v>2026</v>
      </c>
      <c r="B254" s="2" t="s">
        <v>97</v>
      </c>
      <c r="C254" s="3">
        <v>46108</v>
      </c>
      <c r="D254" s="2" t="s">
        <v>16</v>
      </c>
      <c r="E254" s="2" t="s">
        <v>38</v>
      </c>
      <c r="F254" s="2" t="s">
        <v>43</v>
      </c>
      <c r="G254" s="2" t="s">
        <v>83</v>
      </c>
      <c r="H254" s="4">
        <v>508.5</v>
      </c>
      <c r="I254" s="2" t="s">
        <v>20</v>
      </c>
      <c r="J254" s="6" t="s">
        <v>15</v>
      </c>
    </row>
    <row r="255" spans="1:10" x14ac:dyDescent="0.3">
      <c r="A255" s="5">
        <v>2026</v>
      </c>
      <c r="B255" s="2" t="s">
        <v>97</v>
      </c>
      <c r="C255" s="3">
        <v>46092</v>
      </c>
      <c r="D255" s="2" t="s">
        <v>16</v>
      </c>
      <c r="E255" s="2" t="s">
        <v>38</v>
      </c>
      <c r="F255" s="2" t="s">
        <v>45</v>
      </c>
      <c r="G255" s="2" t="s">
        <v>46</v>
      </c>
      <c r="H255" s="4">
        <v>612</v>
      </c>
      <c r="I255" s="2" t="s">
        <v>28</v>
      </c>
      <c r="J255" s="6" t="s">
        <v>15</v>
      </c>
    </row>
    <row r="256" spans="1:10" x14ac:dyDescent="0.3">
      <c r="A256" s="5">
        <v>2026</v>
      </c>
      <c r="B256" s="2" t="s">
        <v>97</v>
      </c>
      <c r="C256" s="3">
        <v>46105</v>
      </c>
      <c r="D256" s="2" t="s">
        <v>16</v>
      </c>
      <c r="E256" s="2" t="s">
        <v>47</v>
      </c>
      <c r="F256" s="2" t="s">
        <v>48</v>
      </c>
      <c r="G256" s="2" t="s">
        <v>49</v>
      </c>
      <c r="H256" s="4">
        <v>2430</v>
      </c>
      <c r="I256" s="2" t="s">
        <v>28</v>
      </c>
      <c r="J256" s="6" t="s">
        <v>15</v>
      </c>
    </row>
    <row r="257" spans="1:10" x14ac:dyDescent="0.3">
      <c r="A257" s="5">
        <v>2026</v>
      </c>
      <c r="B257" s="2" t="s">
        <v>97</v>
      </c>
      <c r="C257" s="3">
        <v>46104</v>
      </c>
      <c r="D257" s="2" t="s">
        <v>16</v>
      </c>
      <c r="E257" s="2" t="s">
        <v>47</v>
      </c>
      <c r="F257" s="2" t="s">
        <v>50</v>
      </c>
      <c r="G257" s="2" t="s">
        <v>51</v>
      </c>
      <c r="H257" s="4">
        <v>1233.9000000000001</v>
      </c>
      <c r="I257" s="2" t="s">
        <v>28</v>
      </c>
      <c r="J257" s="6" t="s">
        <v>15</v>
      </c>
    </row>
    <row r="258" spans="1:10" x14ac:dyDescent="0.3">
      <c r="A258" s="5">
        <v>2026</v>
      </c>
      <c r="B258" s="2" t="s">
        <v>97</v>
      </c>
      <c r="C258" s="3">
        <v>46100</v>
      </c>
      <c r="D258" s="2" t="s">
        <v>16</v>
      </c>
      <c r="E258" s="2" t="s">
        <v>52</v>
      </c>
      <c r="F258" s="2" t="s">
        <v>53</v>
      </c>
      <c r="G258" s="2" t="s">
        <v>54</v>
      </c>
      <c r="H258" s="4">
        <v>921.6</v>
      </c>
      <c r="I258" s="2" t="s">
        <v>28</v>
      </c>
      <c r="J258" s="6" t="s">
        <v>15</v>
      </c>
    </row>
    <row r="259" spans="1:10" x14ac:dyDescent="0.3">
      <c r="A259" s="5">
        <v>2026</v>
      </c>
      <c r="B259" s="2" t="s">
        <v>97</v>
      </c>
      <c r="C259" s="3">
        <v>46106</v>
      </c>
      <c r="D259" s="2" t="s">
        <v>16</v>
      </c>
      <c r="E259" s="2" t="s">
        <v>52</v>
      </c>
      <c r="F259" s="2" t="s">
        <v>55</v>
      </c>
      <c r="G259" s="2" t="s">
        <v>87</v>
      </c>
      <c r="H259" s="4">
        <v>462.6</v>
      </c>
      <c r="I259" s="2" t="s">
        <v>28</v>
      </c>
      <c r="J259" s="6" t="s">
        <v>15</v>
      </c>
    </row>
    <row r="260" spans="1:10" x14ac:dyDescent="0.3">
      <c r="A260" s="5">
        <v>2026</v>
      </c>
      <c r="B260" s="2" t="s">
        <v>97</v>
      </c>
      <c r="C260" s="3">
        <v>46105</v>
      </c>
      <c r="D260" s="2" t="s">
        <v>16</v>
      </c>
      <c r="E260" s="2" t="s">
        <v>52</v>
      </c>
      <c r="F260" s="2" t="s">
        <v>57</v>
      </c>
      <c r="G260" s="2" t="s">
        <v>58</v>
      </c>
      <c r="H260" s="4">
        <v>641.70000000000005</v>
      </c>
      <c r="I260" s="2" t="s">
        <v>28</v>
      </c>
      <c r="J260" s="6" t="s">
        <v>15</v>
      </c>
    </row>
    <row r="261" spans="1:10" x14ac:dyDescent="0.3">
      <c r="A261" s="5">
        <v>2026</v>
      </c>
      <c r="B261" s="2" t="s">
        <v>97</v>
      </c>
      <c r="C261" s="3">
        <v>46092</v>
      </c>
      <c r="D261" s="2" t="s">
        <v>16</v>
      </c>
      <c r="E261" s="2" t="s">
        <v>52</v>
      </c>
      <c r="F261" s="2" t="s">
        <v>59</v>
      </c>
      <c r="G261" s="2" t="s">
        <v>95</v>
      </c>
      <c r="H261" s="4">
        <v>1815.3</v>
      </c>
      <c r="I261" s="2" t="s">
        <v>20</v>
      </c>
      <c r="J261" s="6" t="s">
        <v>15</v>
      </c>
    </row>
    <row r="262" spans="1:10" x14ac:dyDescent="0.3">
      <c r="A262" s="5">
        <v>2026</v>
      </c>
      <c r="B262" s="2" t="s">
        <v>97</v>
      </c>
      <c r="C262" s="3">
        <v>46086</v>
      </c>
      <c r="D262" s="2" t="s">
        <v>16</v>
      </c>
      <c r="E262" s="2" t="s">
        <v>61</v>
      </c>
      <c r="F262" s="2" t="s">
        <v>62</v>
      </c>
      <c r="G262" s="2" t="s">
        <v>63</v>
      </c>
      <c r="H262" s="4">
        <v>1816.2</v>
      </c>
      <c r="I262" s="2" t="s">
        <v>28</v>
      </c>
      <c r="J262" s="6" t="s">
        <v>15</v>
      </c>
    </row>
    <row r="263" spans="1:10" x14ac:dyDescent="0.3">
      <c r="A263" s="5">
        <v>2026</v>
      </c>
      <c r="B263" s="2" t="s">
        <v>97</v>
      </c>
      <c r="C263" s="3">
        <v>46086</v>
      </c>
      <c r="D263" s="2" t="s">
        <v>16</v>
      </c>
      <c r="E263" s="2" t="s">
        <v>61</v>
      </c>
      <c r="F263" s="2" t="s">
        <v>64</v>
      </c>
      <c r="G263" s="2" t="s">
        <v>63</v>
      </c>
      <c r="H263" s="4">
        <v>2178.9</v>
      </c>
      <c r="I263" s="2" t="s">
        <v>20</v>
      </c>
      <c r="J263" s="6" t="s">
        <v>15</v>
      </c>
    </row>
    <row r="264" spans="1:10" x14ac:dyDescent="0.3">
      <c r="A264" s="5">
        <v>2026</v>
      </c>
      <c r="B264" s="2" t="s">
        <v>97</v>
      </c>
      <c r="C264" s="3">
        <v>46089</v>
      </c>
      <c r="D264" s="2" t="s">
        <v>16</v>
      </c>
      <c r="E264" s="2" t="s">
        <v>65</v>
      </c>
      <c r="F264" s="2" t="s">
        <v>66</v>
      </c>
      <c r="G264" s="2" t="s">
        <v>67</v>
      </c>
      <c r="H264" s="4">
        <v>6173.1</v>
      </c>
      <c r="I264" s="2" t="s">
        <v>28</v>
      </c>
      <c r="J264" s="6" t="s">
        <v>15</v>
      </c>
    </row>
    <row r="265" spans="1:10" x14ac:dyDescent="0.3">
      <c r="A265" s="5">
        <v>2026</v>
      </c>
      <c r="B265" s="2" t="s">
        <v>97</v>
      </c>
      <c r="C265" s="3">
        <v>46107</v>
      </c>
      <c r="D265" s="2" t="s">
        <v>68</v>
      </c>
      <c r="E265" s="2" t="s">
        <v>69</v>
      </c>
      <c r="F265" s="2" t="s">
        <v>70</v>
      </c>
      <c r="G265" s="2" t="s">
        <v>71</v>
      </c>
      <c r="H265" s="4">
        <v>7720</v>
      </c>
      <c r="I265" s="2" t="s">
        <v>72</v>
      </c>
      <c r="J265" s="6" t="s">
        <v>15</v>
      </c>
    </row>
    <row r="266" spans="1:10" x14ac:dyDescent="0.3">
      <c r="A266" s="5">
        <v>2026</v>
      </c>
      <c r="B266" s="2" t="s">
        <v>97</v>
      </c>
      <c r="C266" s="3">
        <v>46087</v>
      </c>
      <c r="D266" s="2" t="s">
        <v>68</v>
      </c>
      <c r="E266" s="2" t="s">
        <v>69</v>
      </c>
      <c r="F266" s="2" t="s">
        <v>73</v>
      </c>
      <c r="G266" s="2" t="s">
        <v>71</v>
      </c>
      <c r="H266" s="4">
        <v>4825</v>
      </c>
      <c r="I266" s="2" t="s">
        <v>72</v>
      </c>
      <c r="J266" s="6" t="s">
        <v>15</v>
      </c>
    </row>
    <row r="267" spans="1:10" x14ac:dyDescent="0.3">
      <c r="A267" s="5">
        <v>2026</v>
      </c>
      <c r="B267" s="2" t="s">
        <v>97</v>
      </c>
      <c r="C267" s="3">
        <v>46093</v>
      </c>
      <c r="D267" s="2" t="s">
        <v>68</v>
      </c>
      <c r="E267" s="2" t="s">
        <v>69</v>
      </c>
      <c r="F267" s="2" t="s">
        <v>74</v>
      </c>
      <c r="G267" s="2" t="s">
        <v>75</v>
      </c>
      <c r="H267" s="4">
        <v>2895</v>
      </c>
      <c r="I267" s="2" t="s">
        <v>72</v>
      </c>
      <c r="J267" s="6" t="s">
        <v>15</v>
      </c>
    </row>
    <row r="268" spans="1:10" x14ac:dyDescent="0.3">
      <c r="A268" s="5">
        <v>2026</v>
      </c>
      <c r="B268" s="2" t="s">
        <v>97</v>
      </c>
      <c r="C268" s="3">
        <v>46095</v>
      </c>
      <c r="D268" s="2" t="s">
        <v>68</v>
      </c>
      <c r="E268" s="2" t="s">
        <v>69</v>
      </c>
      <c r="F268" s="2" t="s">
        <v>76</v>
      </c>
      <c r="G268" s="2" t="s">
        <v>77</v>
      </c>
      <c r="H268" s="4">
        <v>1609</v>
      </c>
      <c r="I268" s="2" t="s">
        <v>72</v>
      </c>
      <c r="J268" s="6" t="s">
        <v>15</v>
      </c>
    </row>
    <row r="269" spans="1:10" x14ac:dyDescent="0.3">
      <c r="A269" s="5">
        <v>2026</v>
      </c>
      <c r="B269" s="2" t="s">
        <v>99</v>
      </c>
      <c r="C269" s="3">
        <v>46113</v>
      </c>
      <c r="D269" s="2" t="s">
        <v>11</v>
      </c>
      <c r="E269" s="2" t="s">
        <v>12</v>
      </c>
      <c r="F269" s="2" t="s">
        <v>12</v>
      </c>
      <c r="G269" s="2" t="s">
        <v>13</v>
      </c>
      <c r="H269" s="4">
        <v>71775</v>
      </c>
      <c r="I269" s="2" t="s">
        <v>14</v>
      </c>
      <c r="J269" s="6" t="s">
        <v>15</v>
      </c>
    </row>
    <row r="270" spans="1:10" x14ac:dyDescent="0.3">
      <c r="A270" s="5">
        <v>2026</v>
      </c>
      <c r="B270" s="2" t="s">
        <v>99</v>
      </c>
      <c r="C270" s="3">
        <v>46123</v>
      </c>
      <c r="D270" s="2" t="s">
        <v>16</v>
      </c>
      <c r="E270" s="2" t="s">
        <v>17</v>
      </c>
      <c r="F270" s="2" t="s">
        <v>18</v>
      </c>
      <c r="G270" s="2" t="s">
        <v>19</v>
      </c>
      <c r="H270" s="4">
        <v>17245.8</v>
      </c>
      <c r="I270" s="2" t="s">
        <v>28</v>
      </c>
      <c r="J270" s="6" t="s">
        <v>15</v>
      </c>
    </row>
    <row r="271" spans="1:10" x14ac:dyDescent="0.3">
      <c r="A271" s="5">
        <v>2026</v>
      </c>
      <c r="B271" s="2" t="s">
        <v>99</v>
      </c>
      <c r="C271" s="3">
        <v>46128</v>
      </c>
      <c r="D271" s="2" t="s">
        <v>16</v>
      </c>
      <c r="E271" s="2" t="s">
        <v>17</v>
      </c>
      <c r="F271" s="2" t="s">
        <v>21</v>
      </c>
      <c r="G271" s="2" t="s">
        <v>22</v>
      </c>
      <c r="H271" s="4">
        <v>1125.9000000000001</v>
      </c>
      <c r="I271" s="2" t="s">
        <v>20</v>
      </c>
      <c r="J271" s="6" t="s">
        <v>15</v>
      </c>
    </row>
    <row r="272" spans="1:10" x14ac:dyDescent="0.3">
      <c r="A272" s="5">
        <v>2026</v>
      </c>
      <c r="B272" s="2" t="s">
        <v>99</v>
      </c>
      <c r="C272" s="3">
        <v>46115</v>
      </c>
      <c r="D272" s="2" t="s">
        <v>16</v>
      </c>
      <c r="E272" s="2" t="s">
        <v>23</v>
      </c>
      <c r="F272" s="2" t="s">
        <v>24</v>
      </c>
      <c r="G272" s="2" t="s">
        <v>79</v>
      </c>
      <c r="H272" s="4">
        <v>5659.2</v>
      </c>
      <c r="I272" s="2" t="s">
        <v>28</v>
      </c>
      <c r="J272" s="6" t="s">
        <v>15</v>
      </c>
    </row>
    <row r="273" spans="1:10" x14ac:dyDescent="0.3">
      <c r="A273" s="5">
        <v>2026</v>
      </c>
      <c r="B273" s="2" t="s">
        <v>99</v>
      </c>
      <c r="C273" s="3">
        <v>46117</v>
      </c>
      <c r="D273" s="2" t="s">
        <v>16</v>
      </c>
      <c r="E273" s="2" t="s">
        <v>23</v>
      </c>
      <c r="F273" s="2" t="s">
        <v>26</v>
      </c>
      <c r="G273" s="2" t="s">
        <v>80</v>
      </c>
      <c r="H273" s="4">
        <v>1674.9</v>
      </c>
      <c r="I273" s="2" t="s">
        <v>28</v>
      </c>
      <c r="J273" s="6" t="s">
        <v>15</v>
      </c>
    </row>
    <row r="274" spans="1:10" x14ac:dyDescent="0.3">
      <c r="A274" s="5">
        <v>2026</v>
      </c>
      <c r="B274" s="2" t="s">
        <v>99</v>
      </c>
      <c r="C274" s="3">
        <v>46129</v>
      </c>
      <c r="D274" s="2" t="s">
        <v>16</v>
      </c>
      <c r="E274" s="2" t="s">
        <v>23</v>
      </c>
      <c r="F274" s="2" t="s">
        <v>29</v>
      </c>
      <c r="G274" s="2" t="s">
        <v>80</v>
      </c>
      <c r="H274" s="4">
        <v>1085.4000000000001</v>
      </c>
      <c r="I274" s="2" t="s">
        <v>14</v>
      </c>
      <c r="J274" s="6" t="s">
        <v>15</v>
      </c>
    </row>
    <row r="275" spans="1:10" x14ac:dyDescent="0.3">
      <c r="A275" s="5">
        <v>2026</v>
      </c>
      <c r="B275" s="2" t="s">
        <v>99</v>
      </c>
      <c r="C275" s="3">
        <v>46134</v>
      </c>
      <c r="D275" s="2" t="s">
        <v>16</v>
      </c>
      <c r="E275" s="2" t="s">
        <v>31</v>
      </c>
      <c r="F275" s="2" t="s">
        <v>32</v>
      </c>
      <c r="G275" s="2" t="s">
        <v>81</v>
      </c>
      <c r="H275" s="4">
        <v>1597.5</v>
      </c>
      <c r="I275" s="2" t="s">
        <v>20</v>
      </c>
      <c r="J275" s="6" t="s">
        <v>15</v>
      </c>
    </row>
    <row r="276" spans="1:10" x14ac:dyDescent="0.3">
      <c r="A276" s="5">
        <v>2026</v>
      </c>
      <c r="B276" s="2" t="s">
        <v>99</v>
      </c>
      <c r="C276" s="3">
        <v>46118</v>
      </c>
      <c r="D276" s="2" t="s">
        <v>16</v>
      </c>
      <c r="E276" s="2" t="s">
        <v>31</v>
      </c>
      <c r="F276" s="2" t="s">
        <v>34</v>
      </c>
      <c r="G276" s="2" t="s">
        <v>98</v>
      </c>
      <c r="H276" s="4">
        <v>588.6</v>
      </c>
      <c r="I276" s="2" t="s">
        <v>14</v>
      </c>
      <c r="J276" s="6" t="s">
        <v>15</v>
      </c>
    </row>
    <row r="277" spans="1:10" x14ac:dyDescent="0.3">
      <c r="A277" s="5">
        <v>2026</v>
      </c>
      <c r="B277" s="2" t="s">
        <v>99</v>
      </c>
      <c r="C277" s="3">
        <v>46123</v>
      </c>
      <c r="D277" s="2" t="s">
        <v>16</v>
      </c>
      <c r="E277" s="2" t="s">
        <v>31</v>
      </c>
      <c r="F277" s="2" t="s">
        <v>36</v>
      </c>
      <c r="G277" s="2" t="s">
        <v>37</v>
      </c>
      <c r="H277" s="4">
        <v>605.70000000000005</v>
      </c>
      <c r="I277" s="2" t="s">
        <v>20</v>
      </c>
      <c r="J277" s="6" t="s">
        <v>15</v>
      </c>
    </row>
    <row r="278" spans="1:10" x14ac:dyDescent="0.3">
      <c r="A278" s="5">
        <v>2026</v>
      </c>
      <c r="B278" s="2" t="s">
        <v>99</v>
      </c>
      <c r="C278" s="3">
        <v>46117</v>
      </c>
      <c r="D278" s="2" t="s">
        <v>16</v>
      </c>
      <c r="E278" s="2" t="s">
        <v>38</v>
      </c>
      <c r="F278" s="2" t="s">
        <v>39</v>
      </c>
      <c r="G278" s="2" t="s">
        <v>40</v>
      </c>
      <c r="H278" s="4">
        <v>1477.8</v>
      </c>
      <c r="I278" s="2" t="s">
        <v>14</v>
      </c>
      <c r="J278" s="6" t="s">
        <v>15</v>
      </c>
    </row>
    <row r="279" spans="1:10" x14ac:dyDescent="0.3">
      <c r="A279" s="5">
        <v>2026</v>
      </c>
      <c r="B279" s="2" t="s">
        <v>99</v>
      </c>
      <c r="C279" s="3">
        <v>46133</v>
      </c>
      <c r="D279" s="2" t="s">
        <v>16</v>
      </c>
      <c r="E279" s="2" t="s">
        <v>38</v>
      </c>
      <c r="F279" s="2" t="s">
        <v>41</v>
      </c>
      <c r="G279" s="2" t="s">
        <v>83</v>
      </c>
      <c r="H279" s="4">
        <v>615.6</v>
      </c>
      <c r="I279" s="2" t="s">
        <v>14</v>
      </c>
      <c r="J279" s="6" t="s">
        <v>15</v>
      </c>
    </row>
    <row r="280" spans="1:10" x14ac:dyDescent="0.3">
      <c r="A280" s="5">
        <v>2026</v>
      </c>
      <c r="B280" s="2" t="s">
        <v>99</v>
      </c>
      <c r="C280" s="3">
        <v>46126</v>
      </c>
      <c r="D280" s="2" t="s">
        <v>16</v>
      </c>
      <c r="E280" s="2" t="s">
        <v>38</v>
      </c>
      <c r="F280" s="2" t="s">
        <v>43</v>
      </c>
      <c r="G280" s="2" t="s">
        <v>44</v>
      </c>
      <c r="H280" s="4">
        <v>431.1</v>
      </c>
      <c r="I280" s="2" t="s">
        <v>28</v>
      </c>
      <c r="J280" s="6" t="s">
        <v>15</v>
      </c>
    </row>
    <row r="281" spans="1:10" x14ac:dyDescent="0.3">
      <c r="A281" s="5">
        <v>2026</v>
      </c>
      <c r="B281" s="2" t="s">
        <v>99</v>
      </c>
      <c r="C281" s="3">
        <v>46123</v>
      </c>
      <c r="D281" s="2" t="s">
        <v>16</v>
      </c>
      <c r="E281" s="2" t="s">
        <v>38</v>
      </c>
      <c r="F281" s="2" t="s">
        <v>45</v>
      </c>
      <c r="G281" s="2" t="s">
        <v>46</v>
      </c>
      <c r="H281" s="4">
        <v>651.6</v>
      </c>
      <c r="I281" s="2" t="s">
        <v>28</v>
      </c>
      <c r="J281" s="6" t="s">
        <v>15</v>
      </c>
    </row>
    <row r="282" spans="1:10" x14ac:dyDescent="0.3">
      <c r="A282" s="5">
        <v>2026</v>
      </c>
      <c r="B282" s="2" t="s">
        <v>99</v>
      </c>
      <c r="C282" s="3">
        <v>46132</v>
      </c>
      <c r="D282" s="2" t="s">
        <v>16</v>
      </c>
      <c r="E282" s="2" t="s">
        <v>47</v>
      </c>
      <c r="F282" s="2" t="s">
        <v>48</v>
      </c>
      <c r="G282" s="2" t="s">
        <v>49</v>
      </c>
      <c r="H282" s="4">
        <v>1242.9000000000001</v>
      </c>
      <c r="I282" s="2" t="s">
        <v>14</v>
      </c>
      <c r="J282" s="6" t="s">
        <v>15</v>
      </c>
    </row>
    <row r="283" spans="1:10" x14ac:dyDescent="0.3">
      <c r="A283" s="5">
        <v>2026</v>
      </c>
      <c r="B283" s="2" t="s">
        <v>99</v>
      </c>
      <c r="C283" s="3">
        <v>46137</v>
      </c>
      <c r="D283" s="2" t="s">
        <v>16</v>
      </c>
      <c r="E283" s="2" t="s">
        <v>47</v>
      </c>
      <c r="F283" s="2" t="s">
        <v>50</v>
      </c>
      <c r="G283" s="2" t="s">
        <v>85</v>
      </c>
      <c r="H283" s="4">
        <v>1358.1</v>
      </c>
      <c r="I283" s="2" t="s">
        <v>20</v>
      </c>
      <c r="J283" s="6" t="s">
        <v>15</v>
      </c>
    </row>
    <row r="284" spans="1:10" x14ac:dyDescent="0.3">
      <c r="A284" s="5">
        <v>2026</v>
      </c>
      <c r="B284" s="2" t="s">
        <v>99</v>
      </c>
      <c r="C284" s="3">
        <v>46134</v>
      </c>
      <c r="D284" s="2" t="s">
        <v>16</v>
      </c>
      <c r="E284" s="2" t="s">
        <v>52</v>
      </c>
      <c r="F284" s="2" t="s">
        <v>53</v>
      </c>
      <c r="G284" s="2" t="s">
        <v>86</v>
      </c>
      <c r="H284" s="4">
        <v>373.5</v>
      </c>
      <c r="I284" s="2" t="s">
        <v>28</v>
      </c>
      <c r="J284" s="6" t="s">
        <v>15</v>
      </c>
    </row>
    <row r="285" spans="1:10" x14ac:dyDescent="0.3">
      <c r="A285" s="5">
        <v>2026</v>
      </c>
      <c r="B285" s="2" t="s">
        <v>99</v>
      </c>
      <c r="C285" s="3">
        <v>46135</v>
      </c>
      <c r="D285" s="2" t="s">
        <v>16</v>
      </c>
      <c r="E285" s="2" t="s">
        <v>52</v>
      </c>
      <c r="F285" s="2" t="s">
        <v>55</v>
      </c>
      <c r="G285" s="2" t="s">
        <v>56</v>
      </c>
      <c r="H285" s="4">
        <v>521.1</v>
      </c>
      <c r="I285" s="2" t="s">
        <v>20</v>
      </c>
      <c r="J285" s="6" t="s">
        <v>15</v>
      </c>
    </row>
    <row r="286" spans="1:10" x14ac:dyDescent="0.3">
      <c r="A286" s="5">
        <v>2026</v>
      </c>
      <c r="B286" s="2" t="s">
        <v>99</v>
      </c>
      <c r="C286" s="3">
        <v>46121</v>
      </c>
      <c r="D286" s="2" t="s">
        <v>16</v>
      </c>
      <c r="E286" s="2" t="s">
        <v>52</v>
      </c>
      <c r="F286" s="2" t="s">
        <v>57</v>
      </c>
      <c r="G286" s="2" t="s">
        <v>58</v>
      </c>
      <c r="H286" s="4">
        <v>192.6</v>
      </c>
      <c r="I286" s="2" t="s">
        <v>14</v>
      </c>
      <c r="J286" s="6" t="s">
        <v>15</v>
      </c>
    </row>
    <row r="287" spans="1:10" x14ac:dyDescent="0.3">
      <c r="A287" s="5">
        <v>2026</v>
      </c>
      <c r="B287" s="2" t="s">
        <v>99</v>
      </c>
      <c r="C287" s="3">
        <v>46116</v>
      </c>
      <c r="D287" s="2" t="s">
        <v>16</v>
      </c>
      <c r="E287" s="2" t="s">
        <v>52</v>
      </c>
      <c r="F287" s="2" t="s">
        <v>59</v>
      </c>
      <c r="G287" s="2" t="s">
        <v>60</v>
      </c>
      <c r="H287" s="4">
        <v>1448.1</v>
      </c>
      <c r="I287" s="2" t="s">
        <v>20</v>
      </c>
      <c r="J287" s="6" t="s">
        <v>15</v>
      </c>
    </row>
    <row r="288" spans="1:10" x14ac:dyDescent="0.3">
      <c r="A288" s="5">
        <v>2026</v>
      </c>
      <c r="B288" s="2" t="s">
        <v>99</v>
      </c>
      <c r="C288" s="3">
        <v>46127</v>
      </c>
      <c r="D288" s="2" t="s">
        <v>16</v>
      </c>
      <c r="E288" s="2" t="s">
        <v>61</v>
      </c>
      <c r="F288" s="2" t="s">
        <v>62</v>
      </c>
      <c r="G288" s="2" t="s">
        <v>63</v>
      </c>
      <c r="H288" s="4">
        <v>1539.9</v>
      </c>
      <c r="I288" s="2" t="s">
        <v>14</v>
      </c>
      <c r="J288" s="6" t="s">
        <v>15</v>
      </c>
    </row>
    <row r="289" spans="1:10" x14ac:dyDescent="0.3">
      <c r="A289" s="5">
        <v>2026</v>
      </c>
      <c r="B289" s="2" t="s">
        <v>99</v>
      </c>
      <c r="C289" s="3">
        <v>46133</v>
      </c>
      <c r="D289" s="2" t="s">
        <v>16</v>
      </c>
      <c r="E289" s="2" t="s">
        <v>61</v>
      </c>
      <c r="F289" s="2" t="s">
        <v>64</v>
      </c>
      <c r="G289" s="2" t="s">
        <v>63</v>
      </c>
      <c r="H289" s="4">
        <v>1848.6</v>
      </c>
      <c r="I289" s="2" t="s">
        <v>28</v>
      </c>
      <c r="J289" s="6" t="s">
        <v>15</v>
      </c>
    </row>
    <row r="290" spans="1:10" x14ac:dyDescent="0.3">
      <c r="A290" s="5">
        <v>2026</v>
      </c>
      <c r="B290" s="2" t="s">
        <v>99</v>
      </c>
      <c r="C290" s="3">
        <v>46115</v>
      </c>
      <c r="D290" s="2" t="s">
        <v>16</v>
      </c>
      <c r="E290" s="2" t="s">
        <v>65</v>
      </c>
      <c r="F290" s="2" t="s">
        <v>66</v>
      </c>
      <c r="G290" s="2" t="s">
        <v>67</v>
      </c>
      <c r="H290" s="4">
        <v>5235.3</v>
      </c>
      <c r="I290" s="2" t="s">
        <v>28</v>
      </c>
      <c r="J290" s="6" t="s">
        <v>15</v>
      </c>
    </row>
    <row r="291" spans="1:10" x14ac:dyDescent="0.3">
      <c r="A291" s="5">
        <v>2026</v>
      </c>
      <c r="B291" s="2" t="s">
        <v>99</v>
      </c>
      <c r="C291" s="3">
        <v>46137</v>
      </c>
      <c r="D291" s="2" t="s">
        <v>68</v>
      </c>
      <c r="E291" s="2" t="s">
        <v>69</v>
      </c>
      <c r="F291" s="2" t="s">
        <v>70</v>
      </c>
      <c r="G291" s="2" t="s">
        <v>71</v>
      </c>
      <c r="H291" s="4">
        <v>6176</v>
      </c>
      <c r="I291" s="2" t="s">
        <v>72</v>
      </c>
      <c r="J291" s="6" t="s">
        <v>15</v>
      </c>
    </row>
    <row r="292" spans="1:10" x14ac:dyDescent="0.3">
      <c r="A292" s="5">
        <v>2026</v>
      </c>
      <c r="B292" s="2" t="s">
        <v>99</v>
      </c>
      <c r="C292" s="3">
        <v>46137</v>
      </c>
      <c r="D292" s="2" t="s">
        <v>68</v>
      </c>
      <c r="E292" s="2" t="s">
        <v>69</v>
      </c>
      <c r="F292" s="2" t="s">
        <v>73</v>
      </c>
      <c r="G292" s="2" t="s">
        <v>71</v>
      </c>
      <c r="H292" s="4">
        <v>3860</v>
      </c>
      <c r="I292" s="2" t="s">
        <v>72</v>
      </c>
      <c r="J292" s="6" t="s">
        <v>15</v>
      </c>
    </row>
    <row r="293" spans="1:10" x14ac:dyDescent="0.3">
      <c r="A293" s="5">
        <v>2026</v>
      </c>
      <c r="B293" s="2" t="s">
        <v>99</v>
      </c>
      <c r="C293" s="3">
        <v>46117</v>
      </c>
      <c r="D293" s="2" t="s">
        <v>68</v>
      </c>
      <c r="E293" s="2" t="s">
        <v>69</v>
      </c>
      <c r="F293" s="2" t="s">
        <v>74</v>
      </c>
      <c r="G293" s="2" t="s">
        <v>75</v>
      </c>
      <c r="H293" s="4">
        <v>2316</v>
      </c>
      <c r="I293" s="2" t="s">
        <v>72</v>
      </c>
      <c r="J293" s="6" t="s">
        <v>15</v>
      </c>
    </row>
    <row r="294" spans="1:10" x14ac:dyDescent="0.3">
      <c r="A294" s="5">
        <v>2026</v>
      </c>
      <c r="B294" s="2" t="s">
        <v>99</v>
      </c>
      <c r="C294" s="3">
        <v>46123</v>
      </c>
      <c r="D294" s="2" t="s">
        <v>68</v>
      </c>
      <c r="E294" s="2" t="s">
        <v>69</v>
      </c>
      <c r="F294" s="2" t="s">
        <v>76</v>
      </c>
      <c r="G294" s="2" t="s">
        <v>77</v>
      </c>
      <c r="H294" s="4">
        <v>1287</v>
      </c>
      <c r="I294" s="2" t="s">
        <v>72</v>
      </c>
      <c r="J294" s="6" t="s">
        <v>15</v>
      </c>
    </row>
    <row r="295" spans="1:10" x14ac:dyDescent="0.3">
      <c r="A295" s="5">
        <v>2026</v>
      </c>
      <c r="B295" s="2" t="s">
        <v>100</v>
      </c>
      <c r="C295" s="3">
        <v>46143</v>
      </c>
      <c r="D295" s="2" t="s">
        <v>11</v>
      </c>
      <c r="E295" s="2" t="s">
        <v>12</v>
      </c>
      <c r="F295" s="2" t="s">
        <v>12</v>
      </c>
      <c r="G295" s="2" t="s">
        <v>13</v>
      </c>
      <c r="H295" s="4">
        <v>62445</v>
      </c>
      <c r="I295" s="2" t="s">
        <v>14</v>
      </c>
      <c r="J295" s="6" t="s">
        <v>15</v>
      </c>
    </row>
    <row r="296" spans="1:10" x14ac:dyDescent="0.3">
      <c r="A296" s="5">
        <v>2026</v>
      </c>
      <c r="B296" s="2" t="s">
        <v>100</v>
      </c>
      <c r="C296" s="3">
        <v>46153</v>
      </c>
      <c r="D296" s="2" t="s">
        <v>16</v>
      </c>
      <c r="E296" s="2" t="s">
        <v>17</v>
      </c>
      <c r="F296" s="2" t="s">
        <v>18</v>
      </c>
      <c r="G296" s="2" t="s">
        <v>19</v>
      </c>
      <c r="H296" s="4">
        <v>14728.5</v>
      </c>
      <c r="I296" s="2" t="s">
        <v>20</v>
      </c>
      <c r="J296" s="6" t="s">
        <v>15</v>
      </c>
    </row>
    <row r="297" spans="1:10" x14ac:dyDescent="0.3">
      <c r="A297" s="5">
        <v>2026</v>
      </c>
      <c r="B297" s="2" t="s">
        <v>100</v>
      </c>
      <c r="C297" s="3">
        <v>46158</v>
      </c>
      <c r="D297" s="2" t="s">
        <v>16</v>
      </c>
      <c r="E297" s="2" t="s">
        <v>17</v>
      </c>
      <c r="F297" s="2" t="s">
        <v>21</v>
      </c>
      <c r="G297" s="2" t="s">
        <v>22</v>
      </c>
      <c r="H297" s="4">
        <v>1071</v>
      </c>
      <c r="I297" s="2" t="s">
        <v>14</v>
      </c>
      <c r="J297" s="6" t="s">
        <v>15</v>
      </c>
    </row>
    <row r="298" spans="1:10" x14ac:dyDescent="0.3">
      <c r="A298" s="5">
        <v>2026</v>
      </c>
      <c r="B298" s="2" t="s">
        <v>100</v>
      </c>
      <c r="C298" s="3">
        <v>46156</v>
      </c>
      <c r="D298" s="2" t="s">
        <v>16</v>
      </c>
      <c r="E298" s="2" t="s">
        <v>23</v>
      </c>
      <c r="F298" s="2" t="s">
        <v>24</v>
      </c>
      <c r="G298" s="2" t="s">
        <v>79</v>
      </c>
      <c r="H298" s="4">
        <v>4855.5</v>
      </c>
      <c r="I298" s="2" t="s">
        <v>14</v>
      </c>
      <c r="J298" s="6" t="s">
        <v>15</v>
      </c>
    </row>
    <row r="299" spans="1:10" x14ac:dyDescent="0.3">
      <c r="A299" s="5">
        <v>2026</v>
      </c>
      <c r="B299" s="2" t="s">
        <v>100</v>
      </c>
      <c r="C299" s="3">
        <v>46161</v>
      </c>
      <c r="D299" s="2" t="s">
        <v>16</v>
      </c>
      <c r="E299" s="2" t="s">
        <v>23</v>
      </c>
      <c r="F299" s="2" t="s">
        <v>26</v>
      </c>
      <c r="G299" s="2" t="s">
        <v>30</v>
      </c>
      <c r="H299" s="4">
        <v>1641.6</v>
      </c>
      <c r="I299" s="2" t="s">
        <v>28</v>
      </c>
      <c r="J299" s="6" t="s">
        <v>15</v>
      </c>
    </row>
    <row r="300" spans="1:10" x14ac:dyDescent="0.3">
      <c r="A300" s="5">
        <v>2026</v>
      </c>
      <c r="B300" s="2" t="s">
        <v>100</v>
      </c>
      <c r="C300" s="3">
        <v>46146</v>
      </c>
      <c r="D300" s="2" t="s">
        <v>16</v>
      </c>
      <c r="E300" s="2" t="s">
        <v>23</v>
      </c>
      <c r="F300" s="2" t="s">
        <v>29</v>
      </c>
      <c r="G300" s="2" t="s">
        <v>80</v>
      </c>
      <c r="H300" s="4">
        <v>1329.3</v>
      </c>
      <c r="I300" s="2" t="s">
        <v>28</v>
      </c>
      <c r="J300" s="6" t="s">
        <v>15</v>
      </c>
    </row>
    <row r="301" spans="1:10" x14ac:dyDescent="0.3">
      <c r="A301" s="5">
        <v>2026</v>
      </c>
      <c r="B301" s="2" t="s">
        <v>100</v>
      </c>
      <c r="C301" s="3">
        <v>46167</v>
      </c>
      <c r="D301" s="2" t="s">
        <v>16</v>
      </c>
      <c r="E301" s="2" t="s">
        <v>31</v>
      </c>
      <c r="F301" s="2" t="s">
        <v>32</v>
      </c>
      <c r="G301" s="2" t="s">
        <v>92</v>
      </c>
      <c r="H301" s="4">
        <v>1476</v>
      </c>
      <c r="I301" s="2" t="s">
        <v>14</v>
      </c>
      <c r="J301" s="6" t="s">
        <v>15</v>
      </c>
    </row>
    <row r="302" spans="1:10" x14ac:dyDescent="0.3">
      <c r="A302" s="5">
        <v>2026</v>
      </c>
      <c r="B302" s="2" t="s">
        <v>100</v>
      </c>
      <c r="C302" s="3">
        <v>46152</v>
      </c>
      <c r="D302" s="2" t="s">
        <v>16</v>
      </c>
      <c r="E302" s="2" t="s">
        <v>31</v>
      </c>
      <c r="F302" s="2" t="s">
        <v>34</v>
      </c>
      <c r="G302" s="2" t="s">
        <v>98</v>
      </c>
      <c r="H302" s="4">
        <v>616.5</v>
      </c>
      <c r="I302" s="2" t="s">
        <v>20</v>
      </c>
      <c r="J302" s="6" t="s">
        <v>15</v>
      </c>
    </row>
    <row r="303" spans="1:10" x14ac:dyDescent="0.3">
      <c r="A303" s="5">
        <v>2026</v>
      </c>
      <c r="B303" s="2" t="s">
        <v>100</v>
      </c>
      <c r="C303" s="3">
        <v>46151</v>
      </c>
      <c r="D303" s="2" t="s">
        <v>16</v>
      </c>
      <c r="E303" s="2" t="s">
        <v>31</v>
      </c>
      <c r="F303" s="2" t="s">
        <v>36</v>
      </c>
      <c r="G303" s="2" t="s">
        <v>37</v>
      </c>
      <c r="H303" s="4">
        <v>591.29999999999995</v>
      </c>
      <c r="I303" s="2" t="s">
        <v>14</v>
      </c>
      <c r="J303" s="6" t="s">
        <v>15</v>
      </c>
    </row>
    <row r="304" spans="1:10" x14ac:dyDescent="0.3">
      <c r="A304" s="5">
        <v>2026</v>
      </c>
      <c r="B304" s="2" t="s">
        <v>100</v>
      </c>
      <c r="C304" s="3">
        <v>46170</v>
      </c>
      <c r="D304" s="2" t="s">
        <v>16</v>
      </c>
      <c r="E304" s="2" t="s">
        <v>38</v>
      </c>
      <c r="F304" s="2" t="s">
        <v>39</v>
      </c>
      <c r="G304" s="2" t="s">
        <v>40</v>
      </c>
      <c r="H304" s="4">
        <v>1100.7</v>
      </c>
      <c r="I304" s="2" t="s">
        <v>14</v>
      </c>
      <c r="J304" s="6" t="s">
        <v>15</v>
      </c>
    </row>
    <row r="305" spans="1:10" x14ac:dyDescent="0.3">
      <c r="A305" s="5">
        <v>2026</v>
      </c>
      <c r="B305" s="2" t="s">
        <v>100</v>
      </c>
      <c r="C305" s="3">
        <v>46145</v>
      </c>
      <c r="D305" s="2" t="s">
        <v>16</v>
      </c>
      <c r="E305" s="2" t="s">
        <v>38</v>
      </c>
      <c r="F305" s="2" t="s">
        <v>41</v>
      </c>
      <c r="G305" s="2" t="s">
        <v>83</v>
      </c>
      <c r="H305" s="4">
        <v>525.6</v>
      </c>
      <c r="I305" s="2" t="s">
        <v>28</v>
      </c>
      <c r="J305" s="6" t="s">
        <v>15</v>
      </c>
    </row>
    <row r="306" spans="1:10" x14ac:dyDescent="0.3">
      <c r="A306" s="5">
        <v>2026</v>
      </c>
      <c r="B306" s="2" t="s">
        <v>100</v>
      </c>
      <c r="C306" s="3">
        <v>46160</v>
      </c>
      <c r="D306" s="2" t="s">
        <v>16</v>
      </c>
      <c r="E306" s="2" t="s">
        <v>38</v>
      </c>
      <c r="F306" s="2" t="s">
        <v>43</v>
      </c>
      <c r="G306" s="2" t="s">
        <v>44</v>
      </c>
      <c r="H306" s="4">
        <v>368.1</v>
      </c>
      <c r="I306" s="2" t="s">
        <v>28</v>
      </c>
      <c r="J306" s="6" t="s">
        <v>15</v>
      </c>
    </row>
    <row r="307" spans="1:10" x14ac:dyDescent="0.3">
      <c r="A307" s="5">
        <v>2026</v>
      </c>
      <c r="B307" s="2" t="s">
        <v>100</v>
      </c>
      <c r="C307" s="3">
        <v>46149</v>
      </c>
      <c r="D307" s="2" t="s">
        <v>16</v>
      </c>
      <c r="E307" s="2" t="s">
        <v>38</v>
      </c>
      <c r="F307" s="2" t="s">
        <v>45</v>
      </c>
      <c r="G307" s="2" t="s">
        <v>46</v>
      </c>
      <c r="H307" s="4">
        <v>387.9</v>
      </c>
      <c r="I307" s="2" t="s">
        <v>14</v>
      </c>
      <c r="J307" s="6" t="s">
        <v>15</v>
      </c>
    </row>
    <row r="308" spans="1:10" x14ac:dyDescent="0.3">
      <c r="A308" s="5">
        <v>2026</v>
      </c>
      <c r="B308" s="2" t="s">
        <v>100</v>
      </c>
      <c r="C308" s="3">
        <v>46170</v>
      </c>
      <c r="D308" s="2" t="s">
        <v>16</v>
      </c>
      <c r="E308" s="2" t="s">
        <v>47</v>
      </c>
      <c r="F308" s="2" t="s">
        <v>48</v>
      </c>
      <c r="G308" s="2" t="s">
        <v>84</v>
      </c>
      <c r="H308" s="4">
        <v>918</v>
      </c>
      <c r="I308" s="2" t="s">
        <v>20</v>
      </c>
      <c r="J308" s="6" t="s">
        <v>15</v>
      </c>
    </row>
    <row r="309" spans="1:10" x14ac:dyDescent="0.3">
      <c r="A309" s="5">
        <v>2026</v>
      </c>
      <c r="B309" s="2" t="s">
        <v>100</v>
      </c>
      <c r="C309" s="3">
        <v>46159</v>
      </c>
      <c r="D309" s="2" t="s">
        <v>16</v>
      </c>
      <c r="E309" s="2" t="s">
        <v>47</v>
      </c>
      <c r="F309" s="2" t="s">
        <v>50</v>
      </c>
      <c r="G309" s="2" t="s">
        <v>51</v>
      </c>
      <c r="H309" s="4">
        <v>810</v>
      </c>
      <c r="I309" s="2" t="s">
        <v>28</v>
      </c>
      <c r="J309" s="6" t="s">
        <v>15</v>
      </c>
    </row>
    <row r="310" spans="1:10" x14ac:dyDescent="0.3">
      <c r="A310" s="5">
        <v>2026</v>
      </c>
      <c r="B310" s="2" t="s">
        <v>100</v>
      </c>
      <c r="C310" s="3">
        <v>46154</v>
      </c>
      <c r="D310" s="2" t="s">
        <v>16</v>
      </c>
      <c r="E310" s="2" t="s">
        <v>52</v>
      </c>
      <c r="F310" s="2" t="s">
        <v>53</v>
      </c>
      <c r="G310" s="2" t="s">
        <v>54</v>
      </c>
      <c r="H310" s="4">
        <v>690.3</v>
      </c>
      <c r="I310" s="2" t="s">
        <v>14</v>
      </c>
      <c r="J310" s="6" t="s">
        <v>15</v>
      </c>
    </row>
    <row r="311" spans="1:10" x14ac:dyDescent="0.3">
      <c r="A311" s="5">
        <v>2026</v>
      </c>
      <c r="B311" s="2" t="s">
        <v>100</v>
      </c>
      <c r="C311" s="3">
        <v>46147</v>
      </c>
      <c r="D311" s="2" t="s">
        <v>16</v>
      </c>
      <c r="E311" s="2" t="s">
        <v>52</v>
      </c>
      <c r="F311" s="2" t="s">
        <v>55</v>
      </c>
      <c r="G311" s="2" t="s">
        <v>56</v>
      </c>
      <c r="H311" s="4">
        <v>293.39999999999998</v>
      </c>
      <c r="I311" s="2" t="s">
        <v>28</v>
      </c>
      <c r="J311" s="6" t="s">
        <v>15</v>
      </c>
    </row>
    <row r="312" spans="1:10" x14ac:dyDescent="0.3">
      <c r="A312" s="5">
        <v>2026</v>
      </c>
      <c r="B312" s="2" t="s">
        <v>100</v>
      </c>
      <c r="C312" s="3">
        <v>46157</v>
      </c>
      <c r="D312" s="2" t="s">
        <v>16</v>
      </c>
      <c r="E312" s="2" t="s">
        <v>52</v>
      </c>
      <c r="F312" s="2" t="s">
        <v>57</v>
      </c>
      <c r="G312" s="2" t="s">
        <v>58</v>
      </c>
      <c r="H312" s="4">
        <v>478.8</v>
      </c>
      <c r="I312" s="2" t="s">
        <v>28</v>
      </c>
      <c r="J312" s="6" t="s">
        <v>15</v>
      </c>
    </row>
    <row r="313" spans="1:10" x14ac:dyDescent="0.3">
      <c r="A313" s="5">
        <v>2026</v>
      </c>
      <c r="B313" s="2" t="s">
        <v>100</v>
      </c>
      <c r="C313" s="3">
        <v>46165</v>
      </c>
      <c r="D313" s="2" t="s">
        <v>16</v>
      </c>
      <c r="E313" s="2" t="s">
        <v>52</v>
      </c>
      <c r="F313" s="2" t="s">
        <v>59</v>
      </c>
      <c r="G313" s="2" t="s">
        <v>95</v>
      </c>
      <c r="H313" s="4">
        <v>1226.7</v>
      </c>
      <c r="I313" s="2" t="s">
        <v>14</v>
      </c>
      <c r="J313" s="6" t="s">
        <v>15</v>
      </c>
    </row>
    <row r="314" spans="1:10" x14ac:dyDescent="0.3">
      <c r="A314" s="5">
        <v>2026</v>
      </c>
      <c r="B314" s="2" t="s">
        <v>100</v>
      </c>
      <c r="C314" s="3">
        <v>46145</v>
      </c>
      <c r="D314" s="2" t="s">
        <v>16</v>
      </c>
      <c r="E314" s="2" t="s">
        <v>61</v>
      </c>
      <c r="F314" s="2" t="s">
        <v>62</v>
      </c>
      <c r="G314" s="2" t="s">
        <v>63</v>
      </c>
      <c r="H314" s="4">
        <v>1315.8</v>
      </c>
      <c r="I314" s="2" t="s">
        <v>20</v>
      </c>
      <c r="J314" s="6" t="s">
        <v>15</v>
      </c>
    </row>
    <row r="315" spans="1:10" x14ac:dyDescent="0.3">
      <c r="A315" s="5">
        <v>2026</v>
      </c>
      <c r="B315" s="2" t="s">
        <v>100</v>
      </c>
      <c r="C315" s="3">
        <v>46154</v>
      </c>
      <c r="D315" s="2" t="s">
        <v>16</v>
      </c>
      <c r="E315" s="2" t="s">
        <v>61</v>
      </c>
      <c r="F315" s="2" t="s">
        <v>64</v>
      </c>
      <c r="G315" s="2" t="s">
        <v>63</v>
      </c>
      <c r="H315" s="4">
        <v>1578.6</v>
      </c>
      <c r="I315" s="2" t="s">
        <v>28</v>
      </c>
      <c r="J315" s="6" t="s">
        <v>15</v>
      </c>
    </row>
    <row r="316" spans="1:10" x14ac:dyDescent="0.3">
      <c r="A316" s="5">
        <v>2026</v>
      </c>
      <c r="B316" s="2" t="s">
        <v>100</v>
      </c>
      <c r="C316" s="3">
        <v>46147</v>
      </c>
      <c r="D316" s="2" t="s">
        <v>16</v>
      </c>
      <c r="E316" s="2" t="s">
        <v>65</v>
      </c>
      <c r="F316" s="2" t="s">
        <v>66</v>
      </c>
      <c r="G316" s="2" t="s">
        <v>67</v>
      </c>
      <c r="H316" s="4">
        <v>4471.2</v>
      </c>
      <c r="I316" s="2" t="s">
        <v>14</v>
      </c>
      <c r="J316" s="6" t="s">
        <v>15</v>
      </c>
    </row>
    <row r="317" spans="1:10" x14ac:dyDescent="0.3">
      <c r="A317" s="5">
        <v>2026</v>
      </c>
      <c r="B317" s="2" t="s">
        <v>100</v>
      </c>
      <c r="C317" s="3">
        <v>46145</v>
      </c>
      <c r="D317" s="2" t="s">
        <v>68</v>
      </c>
      <c r="E317" s="2" t="s">
        <v>69</v>
      </c>
      <c r="F317" s="2" t="s">
        <v>70</v>
      </c>
      <c r="G317" s="2" t="s">
        <v>71</v>
      </c>
      <c r="H317" s="4">
        <v>5373</v>
      </c>
      <c r="I317" s="2" t="s">
        <v>72</v>
      </c>
      <c r="J317" s="6" t="s">
        <v>15</v>
      </c>
    </row>
    <row r="318" spans="1:10" x14ac:dyDescent="0.3">
      <c r="A318" s="5">
        <v>2026</v>
      </c>
      <c r="B318" s="2" t="s">
        <v>100</v>
      </c>
      <c r="C318" s="3">
        <v>46158</v>
      </c>
      <c r="D318" s="2" t="s">
        <v>68</v>
      </c>
      <c r="E318" s="2" t="s">
        <v>69</v>
      </c>
      <c r="F318" s="2" t="s">
        <v>73</v>
      </c>
      <c r="G318" s="2" t="s">
        <v>71</v>
      </c>
      <c r="H318" s="4">
        <v>3358</v>
      </c>
      <c r="I318" s="2" t="s">
        <v>72</v>
      </c>
      <c r="J318" s="6" t="s">
        <v>15</v>
      </c>
    </row>
    <row r="319" spans="1:10" x14ac:dyDescent="0.3">
      <c r="A319" s="5">
        <v>2026</v>
      </c>
      <c r="B319" s="2" t="s">
        <v>100</v>
      </c>
      <c r="C319" s="3">
        <v>46151</v>
      </c>
      <c r="D319" s="2" t="s">
        <v>68</v>
      </c>
      <c r="E319" s="2" t="s">
        <v>69</v>
      </c>
      <c r="F319" s="2" t="s">
        <v>74</v>
      </c>
      <c r="G319" s="2" t="s">
        <v>75</v>
      </c>
      <c r="H319" s="4">
        <v>2015</v>
      </c>
      <c r="I319" s="2" t="s">
        <v>72</v>
      </c>
      <c r="J319" s="6" t="s">
        <v>15</v>
      </c>
    </row>
    <row r="320" spans="1:10" x14ac:dyDescent="0.3">
      <c r="A320" s="5">
        <v>2026</v>
      </c>
      <c r="B320" s="2" t="s">
        <v>100</v>
      </c>
      <c r="C320" s="3">
        <v>46164</v>
      </c>
      <c r="D320" s="2" t="s">
        <v>68</v>
      </c>
      <c r="E320" s="2" t="s">
        <v>69</v>
      </c>
      <c r="F320" s="2" t="s">
        <v>76</v>
      </c>
      <c r="G320" s="2" t="s">
        <v>77</v>
      </c>
      <c r="H320" s="4">
        <v>1120</v>
      </c>
      <c r="I320" s="2" t="s">
        <v>72</v>
      </c>
      <c r="J320" s="6" t="s">
        <v>15</v>
      </c>
    </row>
    <row r="321" spans="1:10" x14ac:dyDescent="0.3">
      <c r="A321" s="5">
        <v>2025</v>
      </c>
      <c r="B321" s="2" t="s">
        <v>94</v>
      </c>
      <c r="C321" s="3">
        <v>45658</v>
      </c>
      <c r="D321" s="2" t="s">
        <v>11</v>
      </c>
      <c r="E321" s="2" t="s">
        <v>12</v>
      </c>
      <c r="F321" s="2" t="s">
        <v>12</v>
      </c>
      <c r="G321" s="2" t="s">
        <v>13</v>
      </c>
      <c r="H321" s="4">
        <v>30602</v>
      </c>
      <c r="I321" s="2" t="s">
        <v>14</v>
      </c>
      <c r="J321" s="6" t="s">
        <v>15</v>
      </c>
    </row>
    <row r="322" spans="1:10" x14ac:dyDescent="0.3">
      <c r="A322" s="5">
        <v>2025</v>
      </c>
      <c r="B322" s="2" t="s">
        <v>94</v>
      </c>
      <c r="C322" s="3">
        <v>45661</v>
      </c>
      <c r="D322" s="2" t="s">
        <v>16</v>
      </c>
      <c r="E322" s="2" t="s">
        <v>17</v>
      </c>
      <c r="F322" s="2" t="s">
        <v>18</v>
      </c>
      <c r="G322" s="2" t="s">
        <v>19</v>
      </c>
      <c r="H322" s="4">
        <v>7209.9</v>
      </c>
      <c r="I322" s="2" t="s">
        <v>20</v>
      </c>
      <c r="J322" s="6" t="s">
        <v>15</v>
      </c>
    </row>
    <row r="323" spans="1:10" x14ac:dyDescent="0.3">
      <c r="A323" s="5">
        <v>2025</v>
      </c>
      <c r="B323" s="2" t="s">
        <v>94</v>
      </c>
      <c r="C323" s="3">
        <v>45667</v>
      </c>
      <c r="D323" s="2" t="s">
        <v>16</v>
      </c>
      <c r="E323" s="2" t="s">
        <v>17</v>
      </c>
      <c r="F323" s="2" t="s">
        <v>21</v>
      </c>
      <c r="G323" s="2" t="s">
        <v>22</v>
      </c>
      <c r="H323" s="4">
        <v>494.1</v>
      </c>
      <c r="I323" s="2" t="s">
        <v>28</v>
      </c>
      <c r="J323" s="6" t="s">
        <v>15</v>
      </c>
    </row>
    <row r="324" spans="1:10" x14ac:dyDescent="0.3">
      <c r="A324" s="5">
        <v>2025</v>
      </c>
      <c r="B324" s="2" t="s">
        <v>94</v>
      </c>
      <c r="C324" s="3">
        <v>45676</v>
      </c>
      <c r="D324" s="2" t="s">
        <v>16</v>
      </c>
      <c r="E324" s="2" t="s">
        <v>23</v>
      </c>
      <c r="F324" s="2" t="s">
        <v>24</v>
      </c>
      <c r="G324" s="2" t="s">
        <v>51</v>
      </c>
      <c r="H324" s="4">
        <v>1464.3</v>
      </c>
      <c r="I324" s="2" t="s">
        <v>20</v>
      </c>
      <c r="J324" s="6" t="s">
        <v>15</v>
      </c>
    </row>
    <row r="325" spans="1:10" x14ac:dyDescent="0.3">
      <c r="A325" s="5">
        <v>2025</v>
      </c>
      <c r="B325" s="2" t="s">
        <v>94</v>
      </c>
      <c r="C325" s="3">
        <v>45663</v>
      </c>
      <c r="D325" s="2" t="s">
        <v>16</v>
      </c>
      <c r="E325" s="2" t="s">
        <v>23</v>
      </c>
      <c r="F325" s="2" t="s">
        <v>26</v>
      </c>
      <c r="G325" s="2" t="s">
        <v>80</v>
      </c>
      <c r="H325" s="4">
        <v>762.3</v>
      </c>
      <c r="I325" s="2" t="s">
        <v>28</v>
      </c>
      <c r="J325" s="6" t="s">
        <v>15</v>
      </c>
    </row>
    <row r="326" spans="1:10" x14ac:dyDescent="0.3">
      <c r="A326" s="5">
        <v>2025</v>
      </c>
      <c r="B326" s="2" t="s">
        <v>94</v>
      </c>
      <c r="C326" s="3">
        <v>45681</v>
      </c>
      <c r="D326" s="2" t="s">
        <v>16</v>
      </c>
      <c r="E326" s="2" t="s">
        <v>23</v>
      </c>
      <c r="F326" s="2" t="s">
        <v>29</v>
      </c>
      <c r="G326" s="2" t="s">
        <v>80</v>
      </c>
      <c r="H326" s="4">
        <v>410.4</v>
      </c>
      <c r="I326" s="2" t="s">
        <v>14</v>
      </c>
      <c r="J326" s="6" t="s">
        <v>15</v>
      </c>
    </row>
    <row r="327" spans="1:10" x14ac:dyDescent="0.3">
      <c r="A327" s="5">
        <v>2025</v>
      </c>
      <c r="B327" s="2" t="s">
        <v>94</v>
      </c>
      <c r="C327" s="3">
        <v>45665</v>
      </c>
      <c r="D327" s="2" t="s">
        <v>16</v>
      </c>
      <c r="E327" s="2" t="s">
        <v>31</v>
      </c>
      <c r="F327" s="2" t="s">
        <v>32</v>
      </c>
      <c r="G327" s="2" t="s">
        <v>33</v>
      </c>
      <c r="H327" s="4">
        <v>551.70000000000005</v>
      </c>
      <c r="I327" s="2" t="s">
        <v>28</v>
      </c>
      <c r="J327" s="6" t="s">
        <v>15</v>
      </c>
    </row>
    <row r="328" spans="1:10" x14ac:dyDescent="0.3">
      <c r="A328" s="5">
        <v>2025</v>
      </c>
      <c r="B328" s="2" t="s">
        <v>94</v>
      </c>
      <c r="C328" s="3">
        <v>45672</v>
      </c>
      <c r="D328" s="2" t="s">
        <v>16</v>
      </c>
      <c r="E328" s="2" t="s">
        <v>31</v>
      </c>
      <c r="F328" s="2" t="s">
        <v>34</v>
      </c>
      <c r="G328" s="2" t="s">
        <v>35</v>
      </c>
      <c r="H328" s="4">
        <v>319.5</v>
      </c>
      <c r="I328" s="2" t="s">
        <v>14</v>
      </c>
      <c r="J328" s="6" t="s">
        <v>15</v>
      </c>
    </row>
    <row r="329" spans="1:10" x14ac:dyDescent="0.3">
      <c r="A329" s="5">
        <v>2025</v>
      </c>
      <c r="B329" s="2" t="s">
        <v>94</v>
      </c>
      <c r="C329" s="3">
        <v>45673</v>
      </c>
      <c r="D329" s="2" t="s">
        <v>16</v>
      </c>
      <c r="E329" s="2" t="s">
        <v>31</v>
      </c>
      <c r="F329" s="2" t="s">
        <v>36</v>
      </c>
      <c r="G329" s="2" t="s">
        <v>82</v>
      </c>
      <c r="H329" s="4">
        <v>153</v>
      </c>
      <c r="I329" s="2" t="s">
        <v>20</v>
      </c>
      <c r="J329" s="6" t="s">
        <v>15</v>
      </c>
    </row>
    <row r="330" spans="1:10" x14ac:dyDescent="0.3">
      <c r="A330" s="5">
        <v>2025</v>
      </c>
      <c r="B330" s="2" t="s">
        <v>94</v>
      </c>
      <c r="C330" s="3">
        <v>45665</v>
      </c>
      <c r="D330" s="2" t="s">
        <v>16</v>
      </c>
      <c r="E330" s="2" t="s">
        <v>38</v>
      </c>
      <c r="F330" s="2" t="s">
        <v>39</v>
      </c>
      <c r="G330" s="2" t="s">
        <v>40</v>
      </c>
      <c r="H330" s="4">
        <v>600.29999999999995</v>
      </c>
      <c r="I330" s="2" t="s">
        <v>28</v>
      </c>
      <c r="J330" s="6" t="s">
        <v>15</v>
      </c>
    </row>
    <row r="331" spans="1:10" x14ac:dyDescent="0.3">
      <c r="A331" s="5">
        <v>2025</v>
      </c>
      <c r="B331" s="2" t="s">
        <v>94</v>
      </c>
      <c r="C331" s="3">
        <v>45683</v>
      </c>
      <c r="D331" s="2" t="s">
        <v>16</v>
      </c>
      <c r="E331" s="2" t="s">
        <v>38</v>
      </c>
      <c r="F331" s="2" t="s">
        <v>41</v>
      </c>
      <c r="G331" s="2" t="s">
        <v>83</v>
      </c>
      <c r="H331" s="4">
        <v>182.7</v>
      </c>
      <c r="I331" s="2" t="s">
        <v>14</v>
      </c>
      <c r="J331" s="6" t="s">
        <v>15</v>
      </c>
    </row>
    <row r="332" spans="1:10" x14ac:dyDescent="0.3">
      <c r="A332" s="5">
        <v>2025</v>
      </c>
      <c r="B332" s="2" t="s">
        <v>94</v>
      </c>
      <c r="C332" s="3">
        <v>45671</v>
      </c>
      <c r="D332" s="2" t="s">
        <v>16</v>
      </c>
      <c r="E332" s="2" t="s">
        <v>38</v>
      </c>
      <c r="F332" s="2" t="s">
        <v>43</v>
      </c>
      <c r="G332" s="2" t="s">
        <v>44</v>
      </c>
      <c r="H332" s="4">
        <v>134.1</v>
      </c>
      <c r="I332" s="2" t="s">
        <v>20</v>
      </c>
      <c r="J332" s="6" t="s">
        <v>15</v>
      </c>
    </row>
    <row r="333" spans="1:10" x14ac:dyDescent="0.3">
      <c r="A333" s="5">
        <v>2025</v>
      </c>
      <c r="B333" s="2" t="s">
        <v>94</v>
      </c>
      <c r="C333" s="3">
        <v>45670</v>
      </c>
      <c r="D333" s="2" t="s">
        <v>16</v>
      </c>
      <c r="E333" s="2" t="s">
        <v>38</v>
      </c>
      <c r="F333" s="2" t="s">
        <v>45</v>
      </c>
      <c r="G333" s="2" t="s">
        <v>46</v>
      </c>
      <c r="H333" s="4">
        <v>154.80000000000001</v>
      </c>
      <c r="I333" s="2" t="s">
        <v>28</v>
      </c>
      <c r="J333" s="6" t="s">
        <v>15</v>
      </c>
    </row>
    <row r="334" spans="1:10" x14ac:dyDescent="0.3">
      <c r="A334" s="5">
        <v>2025</v>
      </c>
      <c r="B334" s="2" t="s">
        <v>94</v>
      </c>
      <c r="C334" s="3">
        <v>45685</v>
      </c>
      <c r="D334" s="2" t="s">
        <v>16</v>
      </c>
      <c r="E334" s="2" t="s">
        <v>47</v>
      </c>
      <c r="F334" s="2" t="s">
        <v>48</v>
      </c>
      <c r="G334" s="2" t="s">
        <v>84</v>
      </c>
      <c r="H334" s="4">
        <v>702.9</v>
      </c>
      <c r="I334" s="2" t="s">
        <v>14</v>
      </c>
      <c r="J334" s="6" t="s">
        <v>15</v>
      </c>
    </row>
    <row r="335" spans="1:10" x14ac:dyDescent="0.3">
      <c r="A335" s="5">
        <v>2025</v>
      </c>
      <c r="B335" s="2" t="s">
        <v>94</v>
      </c>
      <c r="C335" s="3">
        <v>45682</v>
      </c>
      <c r="D335" s="2" t="s">
        <v>16</v>
      </c>
      <c r="E335" s="2" t="s">
        <v>47</v>
      </c>
      <c r="F335" s="2" t="s">
        <v>50</v>
      </c>
      <c r="G335" s="2" t="s">
        <v>85</v>
      </c>
      <c r="H335" s="4">
        <v>398.7</v>
      </c>
      <c r="I335" s="2" t="s">
        <v>28</v>
      </c>
      <c r="J335" s="6" t="s">
        <v>15</v>
      </c>
    </row>
    <row r="336" spans="1:10" x14ac:dyDescent="0.3">
      <c r="A336" s="5">
        <v>2025</v>
      </c>
      <c r="B336" s="2" t="s">
        <v>94</v>
      </c>
      <c r="C336" s="3">
        <v>45666</v>
      </c>
      <c r="D336" s="2" t="s">
        <v>16</v>
      </c>
      <c r="E336" s="2" t="s">
        <v>52</v>
      </c>
      <c r="F336" s="2" t="s">
        <v>53</v>
      </c>
      <c r="G336" s="2" t="s">
        <v>54</v>
      </c>
      <c r="H336" s="4">
        <v>218.7</v>
      </c>
      <c r="I336" s="2" t="s">
        <v>28</v>
      </c>
      <c r="J336" s="6" t="s">
        <v>15</v>
      </c>
    </row>
    <row r="337" spans="1:10" x14ac:dyDescent="0.3">
      <c r="A337" s="5">
        <v>2025</v>
      </c>
      <c r="B337" s="2" t="s">
        <v>94</v>
      </c>
      <c r="C337" s="3">
        <v>45674</v>
      </c>
      <c r="D337" s="2" t="s">
        <v>16</v>
      </c>
      <c r="E337" s="2" t="s">
        <v>52</v>
      </c>
      <c r="F337" s="2" t="s">
        <v>55</v>
      </c>
      <c r="G337" s="2" t="s">
        <v>56</v>
      </c>
      <c r="H337" s="4">
        <v>96.3</v>
      </c>
      <c r="I337" s="2" t="s">
        <v>28</v>
      </c>
      <c r="J337" s="6" t="s">
        <v>15</v>
      </c>
    </row>
    <row r="338" spans="1:10" x14ac:dyDescent="0.3">
      <c r="A338" s="5">
        <v>2025</v>
      </c>
      <c r="B338" s="2" t="s">
        <v>94</v>
      </c>
      <c r="C338" s="3">
        <v>45669</v>
      </c>
      <c r="D338" s="2" t="s">
        <v>16</v>
      </c>
      <c r="E338" s="2" t="s">
        <v>52</v>
      </c>
      <c r="F338" s="2" t="s">
        <v>57</v>
      </c>
      <c r="G338" s="2" t="s">
        <v>58</v>
      </c>
      <c r="H338" s="4">
        <v>113.4</v>
      </c>
      <c r="I338" s="2" t="s">
        <v>14</v>
      </c>
      <c r="J338" s="6" t="s">
        <v>15</v>
      </c>
    </row>
    <row r="339" spans="1:10" x14ac:dyDescent="0.3">
      <c r="A339" s="5">
        <v>2025</v>
      </c>
      <c r="B339" s="2" t="s">
        <v>94</v>
      </c>
      <c r="C339" s="3">
        <v>45664</v>
      </c>
      <c r="D339" s="2" t="s">
        <v>16</v>
      </c>
      <c r="E339" s="2" t="s">
        <v>52</v>
      </c>
      <c r="F339" s="2" t="s">
        <v>59</v>
      </c>
      <c r="G339" s="2" t="s">
        <v>95</v>
      </c>
      <c r="H339" s="4">
        <v>328.5</v>
      </c>
      <c r="I339" s="2" t="s">
        <v>20</v>
      </c>
      <c r="J339" s="6" t="s">
        <v>15</v>
      </c>
    </row>
    <row r="340" spans="1:10" x14ac:dyDescent="0.3">
      <c r="A340" s="5">
        <v>2025</v>
      </c>
      <c r="B340" s="2" t="s">
        <v>94</v>
      </c>
      <c r="C340" s="3">
        <v>45678</v>
      </c>
      <c r="D340" s="2" t="s">
        <v>16</v>
      </c>
      <c r="E340" s="2" t="s">
        <v>61</v>
      </c>
      <c r="F340" s="2" t="s">
        <v>62</v>
      </c>
      <c r="G340" s="2" t="s">
        <v>63</v>
      </c>
      <c r="H340" s="4">
        <v>478.8</v>
      </c>
      <c r="I340" s="2" t="s">
        <v>28</v>
      </c>
      <c r="J340" s="6" t="s">
        <v>15</v>
      </c>
    </row>
    <row r="341" spans="1:10" x14ac:dyDescent="0.3">
      <c r="A341" s="5">
        <v>2025</v>
      </c>
      <c r="B341" s="2" t="s">
        <v>94</v>
      </c>
      <c r="C341" s="3">
        <v>45677</v>
      </c>
      <c r="D341" s="2" t="s">
        <v>16</v>
      </c>
      <c r="E341" s="2" t="s">
        <v>61</v>
      </c>
      <c r="F341" s="2" t="s">
        <v>64</v>
      </c>
      <c r="G341" s="2" t="s">
        <v>63</v>
      </c>
      <c r="H341" s="4">
        <v>551.70000000000005</v>
      </c>
      <c r="I341" s="2" t="s">
        <v>20</v>
      </c>
      <c r="J341" s="6" t="s">
        <v>15</v>
      </c>
    </row>
    <row r="342" spans="1:10" x14ac:dyDescent="0.3">
      <c r="A342" s="5">
        <v>2025</v>
      </c>
      <c r="B342" s="2" t="s">
        <v>94</v>
      </c>
      <c r="C342" s="3">
        <v>45679</v>
      </c>
      <c r="D342" s="2" t="s">
        <v>16</v>
      </c>
      <c r="E342" s="2" t="s">
        <v>65</v>
      </c>
      <c r="F342" s="2" t="s">
        <v>66</v>
      </c>
      <c r="G342" s="2" t="s">
        <v>67</v>
      </c>
      <c r="H342" s="4">
        <v>1642.5</v>
      </c>
      <c r="I342" s="2" t="s">
        <v>20</v>
      </c>
      <c r="J342" s="6" t="s">
        <v>15</v>
      </c>
    </row>
    <row r="343" spans="1:10" x14ac:dyDescent="0.3">
      <c r="A343" s="5">
        <v>2025</v>
      </c>
      <c r="B343" s="2" t="s">
        <v>94</v>
      </c>
      <c r="C343" s="3">
        <v>45674</v>
      </c>
      <c r="D343" s="2" t="s">
        <v>68</v>
      </c>
      <c r="E343" s="2" t="s">
        <v>69</v>
      </c>
      <c r="F343" s="2" t="s">
        <v>70</v>
      </c>
      <c r="G343" s="2" t="s">
        <v>71</v>
      </c>
      <c r="H343" s="4">
        <v>1925</v>
      </c>
      <c r="I343" s="2" t="s">
        <v>72</v>
      </c>
      <c r="J343" s="6" t="s">
        <v>15</v>
      </c>
    </row>
    <row r="344" spans="1:10" x14ac:dyDescent="0.3">
      <c r="A344" s="5">
        <v>2025</v>
      </c>
      <c r="B344" s="2" t="s">
        <v>94</v>
      </c>
      <c r="C344" s="3">
        <v>45661</v>
      </c>
      <c r="D344" s="2" t="s">
        <v>68</v>
      </c>
      <c r="E344" s="2" t="s">
        <v>69</v>
      </c>
      <c r="F344" s="2" t="s">
        <v>73</v>
      </c>
      <c r="G344" s="2" t="s">
        <v>71</v>
      </c>
      <c r="H344" s="4">
        <v>1266</v>
      </c>
      <c r="I344" s="2" t="s">
        <v>72</v>
      </c>
      <c r="J344" s="6" t="s">
        <v>15</v>
      </c>
    </row>
    <row r="345" spans="1:10" x14ac:dyDescent="0.3">
      <c r="A345" s="5">
        <v>2025</v>
      </c>
      <c r="B345" s="2" t="s">
        <v>94</v>
      </c>
      <c r="C345" s="3">
        <v>45672</v>
      </c>
      <c r="D345" s="2" t="s">
        <v>68</v>
      </c>
      <c r="E345" s="2" t="s">
        <v>69</v>
      </c>
      <c r="F345" s="2" t="s">
        <v>74</v>
      </c>
      <c r="G345" s="2" t="s">
        <v>75</v>
      </c>
      <c r="H345" s="4">
        <v>730</v>
      </c>
      <c r="I345" s="2" t="s">
        <v>72</v>
      </c>
      <c r="J345" s="6" t="s">
        <v>15</v>
      </c>
    </row>
    <row r="346" spans="1:10" x14ac:dyDescent="0.3">
      <c r="A346" s="5">
        <v>2025</v>
      </c>
      <c r="B346" s="2" t="s">
        <v>94</v>
      </c>
      <c r="C346" s="3">
        <v>45666</v>
      </c>
      <c r="D346" s="2" t="s">
        <v>68</v>
      </c>
      <c r="E346" s="2" t="s">
        <v>69</v>
      </c>
      <c r="F346" s="2" t="s">
        <v>76</v>
      </c>
      <c r="G346" s="2" t="s">
        <v>77</v>
      </c>
      <c r="H346" s="4">
        <v>426</v>
      </c>
      <c r="I346" s="2" t="s">
        <v>72</v>
      </c>
      <c r="J346" s="6" t="s">
        <v>15</v>
      </c>
    </row>
    <row r="347" spans="1:10" x14ac:dyDescent="0.3">
      <c r="A347" s="5">
        <v>2025</v>
      </c>
      <c r="B347" s="2" t="s">
        <v>96</v>
      </c>
      <c r="C347" s="3">
        <v>45689</v>
      </c>
      <c r="D347" s="2" t="s">
        <v>11</v>
      </c>
      <c r="E347" s="2" t="s">
        <v>12</v>
      </c>
      <c r="F347" s="2" t="s">
        <v>12</v>
      </c>
      <c r="G347" s="2" t="s">
        <v>13</v>
      </c>
      <c r="H347" s="4">
        <v>32438</v>
      </c>
      <c r="I347" s="2" t="s">
        <v>14</v>
      </c>
      <c r="J347" s="6" t="s">
        <v>15</v>
      </c>
    </row>
    <row r="348" spans="1:10" x14ac:dyDescent="0.3">
      <c r="A348" s="5">
        <v>2025</v>
      </c>
      <c r="B348" s="2" t="s">
        <v>96</v>
      </c>
      <c r="C348" s="3">
        <v>45710</v>
      </c>
      <c r="D348" s="2" t="s">
        <v>16</v>
      </c>
      <c r="E348" s="2" t="s">
        <v>17</v>
      </c>
      <c r="F348" s="2" t="s">
        <v>18</v>
      </c>
      <c r="G348" s="2" t="s">
        <v>19</v>
      </c>
      <c r="H348" s="4">
        <v>8114.4</v>
      </c>
      <c r="I348" s="2" t="s">
        <v>14</v>
      </c>
      <c r="J348" s="6" t="s">
        <v>15</v>
      </c>
    </row>
    <row r="349" spans="1:10" x14ac:dyDescent="0.3">
      <c r="A349" s="5">
        <v>2025</v>
      </c>
      <c r="B349" s="2" t="s">
        <v>96</v>
      </c>
      <c r="C349" s="3">
        <v>45691</v>
      </c>
      <c r="D349" s="2" t="s">
        <v>16</v>
      </c>
      <c r="E349" s="2" t="s">
        <v>17</v>
      </c>
      <c r="F349" s="2" t="s">
        <v>21</v>
      </c>
      <c r="G349" s="2" t="s">
        <v>22</v>
      </c>
      <c r="H349" s="4">
        <v>693.9</v>
      </c>
      <c r="I349" s="2" t="s">
        <v>20</v>
      </c>
      <c r="J349" s="6" t="s">
        <v>15</v>
      </c>
    </row>
    <row r="350" spans="1:10" x14ac:dyDescent="0.3">
      <c r="A350" s="5">
        <v>2025</v>
      </c>
      <c r="B350" s="2" t="s">
        <v>96</v>
      </c>
      <c r="C350" s="3">
        <v>45696</v>
      </c>
      <c r="D350" s="2" t="s">
        <v>16</v>
      </c>
      <c r="E350" s="2" t="s">
        <v>23</v>
      </c>
      <c r="F350" s="2" t="s">
        <v>24</v>
      </c>
      <c r="G350" s="2" t="s">
        <v>51</v>
      </c>
      <c r="H350" s="4">
        <v>2502.9</v>
      </c>
      <c r="I350" s="2" t="s">
        <v>14</v>
      </c>
      <c r="J350" s="6" t="s">
        <v>15</v>
      </c>
    </row>
    <row r="351" spans="1:10" x14ac:dyDescent="0.3">
      <c r="A351" s="5">
        <v>2025</v>
      </c>
      <c r="B351" s="2" t="s">
        <v>96</v>
      </c>
      <c r="C351" s="3">
        <v>45694</v>
      </c>
      <c r="D351" s="2" t="s">
        <v>16</v>
      </c>
      <c r="E351" s="2" t="s">
        <v>23</v>
      </c>
      <c r="F351" s="2" t="s">
        <v>26</v>
      </c>
      <c r="G351" s="2" t="s">
        <v>80</v>
      </c>
      <c r="H351" s="4">
        <v>920.7</v>
      </c>
      <c r="I351" s="2" t="s">
        <v>20</v>
      </c>
      <c r="J351" s="6" t="s">
        <v>15</v>
      </c>
    </row>
    <row r="352" spans="1:10" x14ac:dyDescent="0.3">
      <c r="A352" s="5">
        <v>2025</v>
      </c>
      <c r="B352" s="2" t="s">
        <v>96</v>
      </c>
      <c r="C352" s="3">
        <v>45705</v>
      </c>
      <c r="D352" s="2" t="s">
        <v>16</v>
      </c>
      <c r="E352" s="2" t="s">
        <v>23</v>
      </c>
      <c r="F352" s="2" t="s">
        <v>29</v>
      </c>
      <c r="G352" s="2" t="s">
        <v>80</v>
      </c>
      <c r="H352" s="4">
        <v>793.8</v>
      </c>
      <c r="I352" s="2" t="s">
        <v>14</v>
      </c>
      <c r="J352" s="6" t="s">
        <v>15</v>
      </c>
    </row>
    <row r="353" spans="1:10" x14ac:dyDescent="0.3">
      <c r="A353" s="5">
        <v>2025</v>
      </c>
      <c r="B353" s="2" t="s">
        <v>96</v>
      </c>
      <c r="C353" s="3">
        <v>45696</v>
      </c>
      <c r="D353" s="2" t="s">
        <v>16</v>
      </c>
      <c r="E353" s="2" t="s">
        <v>31</v>
      </c>
      <c r="F353" s="2" t="s">
        <v>32</v>
      </c>
      <c r="G353" s="2" t="s">
        <v>92</v>
      </c>
      <c r="H353" s="4">
        <v>936.9</v>
      </c>
      <c r="I353" s="2" t="s">
        <v>14</v>
      </c>
      <c r="J353" s="6" t="s">
        <v>15</v>
      </c>
    </row>
    <row r="354" spans="1:10" x14ac:dyDescent="0.3">
      <c r="A354" s="5">
        <v>2025</v>
      </c>
      <c r="B354" s="2" t="s">
        <v>96</v>
      </c>
      <c r="C354" s="3">
        <v>45698</v>
      </c>
      <c r="D354" s="2" t="s">
        <v>16</v>
      </c>
      <c r="E354" s="2" t="s">
        <v>31</v>
      </c>
      <c r="F354" s="2" t="s">
        <v>34</v>
      </c>
      <c r="G354" s="2" t="s">
        <v>35</v>
      </c>
      <c r="H354" s="4">
        <v>339.3</v>
      </c>
      <c r="I354" s="2" t="s">
        <v>20</v>
      </c>
      <c r="J354" s="6" t="s">
        <v>15</v>
      </c>
    </row>
    <row r="355" spans="1:10" x14ac:dyDescent="0.3">
      <c r="A355" s="5">
        <v>2025</v>
      </c>
      <c r="B355" s="2" t="s">
        <v>96</v>
      </c>
      <c r="C355" s="3">
        <v>45709</v>
      </c>
      <c r="D355" s="2" t="s">
        <v>16</v>
      </c>
      <c r="E355" s="2" t="s">
        <v>31</v>
      </c>
      <c r="F355" s="2" t="s">
        <v>36</v>
      </c>
      <c r="G355" s="2" t="s">
        <v>37</v>
      </c>
      <c r="H355" s="4">
        <v>310.5</v>
      </c>
      <c r="I355" s="2" t="s">
        <v>20</v>
      </c>
      <c r="J355" s="6" t="s">
        <v>15</v>
      </c>
    </row>
    <row r="356" spans="1:10" x14ac:dyDescent="0.3">
      <c r="A356" s="5">
        <v>2025</v>
      </c>
      <c r="B356" s="2" t="s">
        <v>96</v>
      </c>
      <c r="C356" s="3">
        <v>45699</v>
      </c>
      <c r="D356" s="2" t="s">
        <v>16</v>
      </c>
      <c r="E356" s="2" t="s">
        <v>38</v>
      </c>
      <c r="F356" s="2" t="s">
        <v>39</v>
      </c>
      <c r="G356" s="2" t="s">
        <v>40</v>
      </c>
      <c r="H356" s="4">
        <v>569.70000000000005</v>
      </c>
      <c r="I356" s="2" t="s">
        <v>14</v>
      </c>
      <c r="J356" s="6" t="s">
        <v>15</v>
      </c>
    </row>
    <row r="357" spans="1:10" x14ac:dyDescent="0.3">
      <c r="A357" s="5">
        <v>2025</v>
      </c>
      <c r="B357" s="2" t="s">
        <v>96</v>
      </c>
      <c r="C357" s="3">
        <v>45690</v>
      </c>
      <c r="D357" s="2" t="s">
        <v>16</v>
      </c>
      <c r="E357" s="2" t="s">
        <v>38</v>
      </c>
      <c r="F357" s="2" t="s">
        <v>41</v>
      </c>
      <c r="G357" s="2" t="s">
        <v>42</v>
      </c>
      <c r="H357" s="4">
        <v>279</v>
      </c>
      <c r="I357" s="2" t="s">
        <v>14</v>
      </c>
      <c r="J357" s="6" t="s">
        <v>15</v>
      </c>
    </row>
    <row r="358" spans="1:10" x14ac:dyDescent="0.3">
      <c r="A358" s="5">
        <v>2025</v>
      </c>
      <c r="B358" s="2" t="s">
        <v>96</v>
      </c>
      <c r="C358" s="3">
        <v>45711</v>
      </c>
      <c r="D358" s="2" t="s">
        <v>16</v>
      </c>
      <c r="E358" s="2" t="s">
        <v>38</v>
      </c>
      <c r="F358" s="2" t="s">
        <v>43</v>
      </c>
      <c r="G358" s="2" t="s">
        <v>44</v>
      </c>
      <c r="H358" s="4">
        <v>205.2</v>
      </c>
      <c r="I358" s="2" t="s">
        <v>28</v>
      </c>
      <c r="J358" s="6" t="s">
        <v>15</v>
      </c>
    </row>
    <row r="359" spans="1:10" x14ac:dyDescent="0.3">
      <c r="A359" s="5">
        <v>2025</v>
      </c>
      <c r="B359" s="2" t="s">
        <v>96</v>
      </c>
      <c r="C359" s="3">
        <v>45712</v>
      </c>
      <c r="D359" s="2" t="s">
        <v>16</v>
      </c>
      <c r="E359" s="2" t="s">
        <v>38</v>
      </c>
      <c r="F359" s="2" t="s">
        <v>45</v>
      </c>
      <c r="G359" s="2" t="s">
        <v>46</v>
      </c>
      <c r="H359" s="4">
        <v>259.2</v>
      </c>
      <c r="I359" s="2" t="s">
        <v>20</v>
      </c>
      <c r="J359" s="6" t="s">
        <v>15</v>
      </c>
    </row>
    <row r="360" spans="1:10" x14ac:dyDescent="0.3">
      <c r="A360" s="5">
        <v>2025</v>
      </c>
      <c r="B360" s="2" t="s">
        <v>96</v>
      </c>
      <c r="C360" s="3">
        <v>45708</v>
      </c>
      <c r="D360" s="2" t="s">
        <v>16</v>
      </c>
      <c r="E360" s="2" t="s">
        <v>47</v>
      </c>
      <c r="F360" s="2" t="s">
        <v>48</v>
      </c>
      <c r="G360" s="2" t="s">
        <v>49</v>
      </c>
      <c r="H360" s="4">
        <v>458.1</v>
      </c>
      <c r="I360" s="2" t="s">
        <v>20</v>
      </c>
      <c r="J360" s="6" t="s">
        <v>15</v>
      </c>
    </row>
    <row r="361" spans="1:10" x14ac:dyDescent="0.3">
      <c r="A361" s="5">
        <v>2025</v>
      </c>
      <c r="B361" s="2" t="s">
        <v>96</v>
      </c>
      <c r="C361" s="3">
        <v>45712</v>
      </c>
      <c r="D361" s="2" t="s">
        <v>16</v>
      </c>
      <c r="E361" s="2" t="s">
        <v>47</v>
      </c>
      <c r="F361" s="2" t="s">
        <v>50</v>
      </c>
      <c r="G361" s="2" t="s">
        <v>51</v>
      </c>
      <c r="H361" s="4">
        <v>641.70000000000005</v>
      </c>
      <c r="I361" s="2" t="s">
        <v>14</v>
      </c>
      <c r="J361" s="6" t="s">
        <v>15</v>
      </c>
    </row>
    <row r="362" spans="1:10" x14ac:dyDescent="0.3">
      <c r="A362" s="5">
        <v>2025</v>
      </c>
      <c r="B362" s="2" t="s">
        <v>96</v>
      </c>
      <c r="C362" s="3">
        <v>45709</v>
      </c>
      <c r="D362" s="2" t="s">
        <v>16</v>
      </c>
      <c r="E362" s="2" t="s">
        <v>52</v>
      </c>
      <c r="F362" s="2" t="s">
        <v>53</v>
      </c>
      <c r="G362" s="2" t="s">
        <v>86</v>
      </c>
      <c r="H362" s="4">
        <v>162</v>
      </c>
      <c r="I362" s="2" t="s">
        <v>14</v>
      </c>
      <c r="J362" s="6" t="s">
        <v>15</v>
      </c>
    </row>
    <row r="363" spans="1:10" x14ac:dyDescent="0.3">
      <c r="A363" s="5">
        <v>2025</v>
      </c>
      <c r="B363" s="2" t="s">
        <v>96</v>
      </c>
      <c r="C363" s="3">
        <v>45715</v>
      </c>
      <c r="D363" s="2" t="s">
        <v>16</v>
      </c>
      <c r="E363" s="2" t="s">
        <v>52</v>
      </c>
      <c r="F363" s="2" t="s">
        <v>55</v>
      </c>
      <c r="G363" s="2" t="s">
        <v>56</v>
      </c>
      <c r="H363" s="4">
        <v>244.8</v>
      </c>
      <c r="I363" s="2" t="s">
        <v>28</v>
      </c>
      <c r="J363" s="6" t="s">
        <v>15</v>
      </c>
    </row>
    <row r="364" spans="1:10" x14ac:dyDescent="0.3">
      <c r="A364" s="5">
        <v>2025</v>
      </c>
      <c r="B364" s="2" t="s">
        <v>96</v>
      </c>
      <c r="C364" s="3">
        <v>45707</v>
      </c>
      <c r="D364" s="2" t="s">
        <v>16</v>
      </c>
      <c r="E364" s="2" t="s">
        <v>52</v>
      </c>
      <c r="F364" s="2" t="s">
        <v>57</v>
      </c>
      <c r="G364" s="2" t="s">
        <v>58</v>
      </c>
      <c r="H364" s="4">
        <v>190.8</v>
      </c>
      <c r="I364" s="2" t="s">
        <v>14</v>
      </c>
      <c r="J364" s="6" t="s">
        <v>15</v>
      </c>
    </row>
    <row r="365" spans="1:10" x14ac:dyDescent="0.3">
      <c r="A365" s="5">
        <v>2025</v>
      </c>
      <c r="B365" s="2" t="s">
        <v>96</v>
      </c>
      <c r="C365" s="3">
        <v>45701</v>
      </c>
      <c r="D365" s="2" t="s">
        <v>16</v>
      </c>
      <c r="E365" s="2" t="s">
        <v>52</v>
      </c>
      <c r="F365" s="2" t="s">
        <v>59</v>
      </c>
      <c r="G365" s="2" t="s">
        <v>60</v>
      </c>
      <c r="H365" s="4">
        <v>255.6</v>
      </c>
      <c r="I365" s="2" t="s">
        <v>14</v>
      </c>
      <c r="J365" s="6" t="s">
        <v>15</v>
      </c>
    </row>
    <row r="366" spans="1:10" x14ac:dyDescent="0.3">
      <c r="A366" s="5">
        <v>2025</v>
      </c>
      <c r="B366" s="2" t="s">
        <v>96</v>
      </c>
      <c r="C366" s="3">
        <v>45710</v>
      </c>
      <c r="D366" s="2" t="s">
        <v>16</v>
      </c>
      <c r="E366" s="2" t="s">
        <v>61</v>
      </c>
      <c r="F366" s="2" t="s">
        <v>62</v>
      </c>
      <c r="G366" s="2" t="s">
        <v>63</v>
      </c>
      <c r="H366" s="4">
        <v>732.6</v>
      </c>
      <c r="I366" s="2" t="s">
        <v>20</v>
      </c>
      <c r="J366" s="6" t="s">
        <v>15</v>
      </c>
    </row>
    <row r="367" spans="1:10" x14ac:dyDescent="0.3">
      <c r="A367" s="5">
        <v>2025</v>
      </c>
      <c r="B367" s="2" t="s">
        <v>96</v>
      </c>
      <c r="C367" s="3">
        <v>45703</v>
      </c>
      <c r="D367" s="2" t="s">
        <v>16</v>
      </c>
      <c r="E367" s="2" t="s">
        <v>61</v>
      </c>
      <c r="F367" s="2" t="s">
        <v>64</v>
      </c>
      <c r="G367" s="2" t="s">
        <v>63</v>
      </c>
      <c r="H367" s="4">
        <v>828</v>
      </c>
      <c r="I367" s="2" t="s">
        <v>20</v>
      </c>
      <c r="J367" s="6" t="s">
        <v>15</v>
      </c>
    </row>
    <row r="368" spans="1:10" x14ac:dyDescent="0.3">
      <c r="A368" s="5">
        <v>2025</v>
      </c>
      <c r="B368" s="2" t="s">
        <v>96</v>
      </c>
      <c r="C368" s="3">
        <v>45703</v>
      </c>
      <c r="D368" s="2" t="s">
        <v>16</v>
      </c>
      <c r="E368" s="2" t="s">
        <v>65</v>
      </c>
      <c r="F368" s="2" t="s">
        <v>66</v>
      </c>
      <c r="G368" s="2" t="s">
        <v>67</v>
      </c>
      <c r="H368" s="4">
        <v>2464.1999999999998</v>
      </c>
      <c r="I368" s="2" t="s">
        <v>14</v>
      </c>
      <c r="J368" s="6" t="s">
        <v>15</v>
      </c>
    </row>
    <row r="369" spans="1:10" x14ac:dyDescent="0.3">
      <c r="A369" s="5">
        <v>2025</v>
      </c>
      <c r="B369" s="2" t="s">
        <v>96</v>
      </c>
      <c r="C369" s="3">
        <v>45705</v>
      </c>
      <c r="D369" s="2" t="s">
        <v>68</v>
      </c>
      <c r="E369" s="2" t="s">
        <v>69</v>
      </c>
      <c r="F369" s="2" t="s">
        <v>70</v>
      </c>
      <c r="G369" s="2" t="s">
        <v>71</v>
      </c>
      <c r="H369" s="4">
        <v>2820</v>
      </c>
      <c r="I369" s="2" t="s">
        <v>72</v>
      </c>
      <c r="J369" s="6" t="s">
        <v>15</v>
      </c>
    </row>
    <row r="370" spans="1:10" x14ac:dyDescent="0.3">
      <c r="A370" s="5">
        <v>2025</v>
      </c>
      <c r="B370" s="2" t="s">
        <v>96</v>
      </c>
      <c r="C370" s="3">
        <v>45704</v>
      </c>
      <c r="D370" s="2" t="s">
        <v>68</v>
      </c>
      <c r="E370" s="2" t="s">
        <v>69</v>
      </c>
      <c r="F370" s="2" t="s">
        <v>73</v>
      </c>
      <c r="G370" s="2" t="s">
        <v>71</v>
      </c>
      <c r="H370" s="4">
        <v>1853</v>
      </c>
      <c r="I370" s="2" t="s">
        <v>72</v>
      </c>
      <c r="J370" s="6" t="s">
        <v>15</v>
      </c>
    </row>
    <row r="371" spans="1:10" x14ac:dyDescent="0.3">
      <c r="A371" s="5">
        <v>2025</v>
      </c>
      <c r="B371" s="2" t="s">
        <v>96</v>
      </c>
      <c r="C371" s="3">
        <v>45714</v>
      </c>
      <c r="D371" s="2" t="s">
        <v>68</v>
      </c>
      <c r="E371" s="2" t="s">
        <v>69</v>
      </c>
      <c r="F371" s="2" t="s">
        <v>74</v>
      </c>
      <c r="G371" s="2" t="s">
        <v>75</v>
      </c>
      <c r="H371" s="4">
        <v>1047</v>
      </c>
      <c r="I371" s="2" t="s">
        <v>72</v>
      </c>
      <c r="J371" s="6" t="s">
        <v>15</v>
      </c>
    </row>
    <row r="372" spans="1:10" x14ac:dyDescent="0.3">
      <c r="A372" s="5">
        <v>2025</v>
      </c>
      <c r="B372" s="2" t="s">
        <v>96</v>
      </c>
      <c r="C372" s="3">
        <v>45710</v>
      </c>
      <c r="D372" s="2" t="s">
        <v>68</v>
      </c>
      <c r="E372" s="2" t="s">
        <v>69</v>
      </c>
      <c r="F372" s="2" t="s">
        <v>76</v>
      </c>
      <c r="G372" s="2" t="s">
        <v>77</v>
      </c>
      <c r="H372" s="4">
        <v>612</v>
      </c>
      <c r="I372" s="2" t="s">
        <v>72</v>
      </c>
      <c r="J372" s="6" t="s">
        <v>15</v>
      </c>
    </row>
    <row r="373" spans="1:10" x14ac:dyDescent="0.3">
      <c r="A373" s="5">
        <v>2025</v>
      </c>
      <c r="B373" s="2" t="s">
        <v>97</v>
      </c>
      <c r="C373" s="3">
        <v>45717</v>
      </c>
      <c r="D373" s="2" t="s">
        <v>11</v>
      </c>
      <c r="E373" s="2" t="s">
        <v>12</v>
      </c>
      <c r="F373" s="2" t="s">
        <v>12</v>
      </c>
      <c r="G373" s="2" t="s">
        <v>13</v>
      </c>
      <c r="H373" s="4">
        <v>36049</v>
      </c>
      <c r="I373" s="2" t="s">
        <v>14</v>
      </c>
      <c r="J373" s="6" t="s">
        <v>15</v>
      </c>
    </row>
    <row r="374" spans="1:10" x14ac:dyDescent="0.3">
      <c r="A374" s="5">
        <v>2025</v>
      </c>
      <c r="B374" s="2" t="s">
        <v>97</v>
      </c>
      <c r="C374" s="3">
        <v>45739</v>
      </c>
      <c r="D374" s="2" t="s">
        <v>16</v>
      </c>
      <c r="E374" s="2" t="s">
        <v>17</v>
      </c>
      <c r="F374" s="2" t="s">
        <v>18</v>
      </c>
      <c r="G374" s="2" t="s">
        <v>19</v>
      </c>
      <c r="H374" s="4">
        <v>8587.7999999999993</v>
      </c>
      <c r="I374" s="2" t="s">
        <v>28</v>
      </c>
      <c r="J374" s="6" t="s">
        <v>15</v>
      </c>
    </row>
    <row r="375" spans="1:10" x14ac:dyDescent="0.3">
      <c r="A375" s="5">
        <v>2025</v>
      </c>
      <c r="B375" s="2" t="s">
        <v>97</v>
      </c>
      <c r="C375" s="3">
        <v>45718</v>
      </c>
      <c r="D375" s="2" t="s">
        <v>16</v>
      </c>
      <c r="E375" s="2" t="s">
        <v>17</v>
      </c>
      <c r="F375" s="2" t="s">
        <v>21</v>
      </c>
      <c r="G375" s="2" t="s">
        <v>22</v>
      </c>
      <c r="H375" s="4">
        <v>777.6</v>
      </c>
      <c r="I375" s="2" t="s">
        <v>28</v>
      </c>
      <c r="J375" s="6" t="s">
        <v>15</v>
      </c>
    </row>
    <row r="376" spans="1:10" x14ac:dyDescent="0.3">
      <c r="A376" s="5">
        <v>2025</v>
      </c>
      <c r="B376" s="2" t="s">
        <v>97</v>
      </c>
      <c r="C376" s="3">
        <v>45723</v>
      </c>
      <c r="D376" s="2" t="s">
        <v>16</v>
      </c>
      <c r="E376" s="2" t="s">
        <v>23</v>
      </c>
      <c r="F376" s="2" t="s">
        <v>24</v>
      </c>
      <c r="G376" s="2" t="s">
        <v>79</v>
      </c>
      <c r="H376" s="4">
        <v>2862.9</v>
      </c>
      <c r="I376" s="2" t="s">
        <v>20</v>
      </c>
      <c r="J376" s="6" t="s">
        <v>15</v>
      </c>
    </row>
    <row r="377" spans="1:10" x14ac:dyDescent="0.3">
      <c r="A377" s="5">
        <v>2025</v>
      </c>
      <c r="B377" s="2" t="s">
        <v>97</v>
      </c>
      <c r="C377" s="3">
        <v>45729</v>
      </c>
      <c r="D377" s="2" t="s">
        <v>16</v>
      </c>
      <c r="E377" s="2" t="s">
        <v>23</v>
      </c>
      <c r="F377" s="2" t="s">
        <v>26</v>
      </c>
      <c r="G377" s="2" t="s">
        <v>30</v>
      </c>
      <c r="H377" s="4">
        <v>963</v>
      </c>
      <c r="I377" s="2" t="s">
        <v>28</v>
      </c>
      <c r="J377" s="6" t="s">
        <v>15</v>
      </c>
    </row>
    <row r="378" spans="1:10" x14ac:dyDescent="0.3">
      <c r="A378" s="5">
        <v>2025</v>
      </c>
      <c r="B378" s="2" t="s">
        <v>97</v>
      </c>
      <c r="C378" s="3">
        <v>45726</v>
      </c>
      <c r="D378" s="2" t="s">
        <v>16</v>
      </c>
      <c r="E378" s="2" t="s">
        <v>23</v>
      </c>
      <c r="F378" s="2" t="s">
        <v>29</v>
      </c>
      <c r="G378" s="2" t="s">
        <v>30</v>
      </c>
      <c r="H378" s="4">
        <v>570.6</v>
      </c>
      <c r="I378" s="2" t="s">
        <v>14</v>
      </c>
      <c r="J378" s="6" t="s">
        <v>15</v>
      </c>
    </row>
    <row r="379" spans="1:10" x14ac:dyDescent="0.3">
      <c r="A379" s="5">
        <v>2025</v>
      </c>
      <c r="B379" s="2" t="s">
        <v>97</v>
      </c>
      <c r="C379" s="3">
        <v>45718</v>
      </c>
      <c r="D379" s="2" t="s">
        <v>16</v>
      </c>
      <c r="E379" s="2" t="s">
        <v>31</v>
      </c>
      <c r="F379" s="2" t="s">
        <v>32</v>
      </c>
      <c r="G379" s="2" t="s">
        <v>81</v>
      </c>
      <c r="H379" s="4">
        <v>867.6</v>
      </c>
      <c r="I379" s="2" t="s">
        <v>20</v>
      </c>
      <c r="J379" s="6" t="s">
        <v>15</v>
      </c>
    </row>
    <row r="380" spans="1:10" x14ac:dyDescent="0.3">
      <c r="A380" s="5">
        <v>2025</v>
      </c>
      <c r="B380" s="2" t="s">
        <v>97</v>
      </c>
      <c r="C380" s="3">
        <v>45720</v>
      </c>
      <c r="D380" s="2" t="s">
        <v>16</v>
      </c>
      <c r="E380" s="2" t="s">
        <v>31</v>
      </c>
      <c r="F380" s="2" t="s">
        <v>34</v>
      </c>
      <c r="G380" s="2" t="s">
        <v>98</v>
      </c>
      <c r="H380" s="4">
        <v>531.9</v>
      </c>
      <c r="I380" s="2" t="s">
        <v>14</v>
      </c>
      <c r="J380" s="6" t="s">
        <v>15</v>
      </c>
    </row>
    <row r="381" spans="1:10" x14ac:dyDescent="0.3">
      <c r="A381" s="5">
        <v>2025</v>
      </c>
      <c r="B381" s="2" t="s">
        <v>97</v>
      </c>
      <c r="C381" s="3">
        <v>45731</v>
      </c>
      <c r="D381" s="2" t="s">
        <v>16</v>
      </c>
      <c r="E381" s="2" t="s">
        <v>31</v>
      </c>
      <c r="F381" s="2" t="s">
        <v>36</v>
      </c>
      <c r="G381" s="2" t="s">
        <v>82</v>
      </c>
      <c r="H381" s="4">
        <v>343.8</v>
      </c>
      <c r="I381" s="2" t="s">
        <v>14</v>
      </c>
      <c r="J381" s="6" t="s">
        <v>15</v>
      </c>
    </row>
    <row r="382" spans="1:10" x14ac:dyDescent="0.3">
      <c r="A382" s="5">
        <v>2025</v>
      </c>
      <c r="B382" s="2" t="s">
        <v>97</v>
      </c>
      <c r="C382" s="3">
        <v>45742</v>
      </c>
      <c r="D382" s="2" t="s">
        <v>16</v>
      </c>
      <c r="E382" s="2" t="s">
        <v>38</v>
      </c>
      <c r="F382" s="2" t="s">
        <v>39</v>
      </c>
      <c r="G382" s="2" t="s">
        <v>40</v>
      </c>
      <c r="H382" s="4">
        <v>607.5</v>
      </c>
      <c r="I382" s="2" t="s">
        <v>14</v>
      </c>
      <c r="J382" s="6" t="s">
        <v>15</v>
      </c>
    </row>
    <row r="383" spans="1:10" x14ac:dyDescent="0.3">
      <c r="A383" s="5">
        <v>2025</v>
      </c>
      <c r="B383" s="2" t="s">
        <v>97</v>
      </c>
      <c r="C383" s="3">
        <v>45733</v>
      </c>
      <c r="D383" s="2" t="s">
        <v>16</v>
      </c>
      <c r="E383" s="2" t="s">
        <v>38</v>
      </c>
      <c r="F383" s="2" t="s">
        <v>41</v>
      </c>
      <c r="G383" s="2" t="s">
        <v>42</v>
      </c>
      <c r="H383" s="4">
        <v>288.89999999999998</v>
      </c>
      <c r="I383" s="2" t="s">
        <v>28</v>
      </c>
      <c r="J383" s="6" t="s">
        <v>15</v>
      </c>
    </row>
    <row r="384" spans="1:10" x14ac:dyDescent="0.3">
      <c r="A384" s="5">
        <v>2025</v>
      </c>
      <c r="B384" s="2" t="s">
        <v>97</v>
      </c>
      <c r="C384" s="3">
        <v>45743</v>
      </c>
      <c r="D384" s="2" t="s">
        <v>16</v>
      </c>
      <c r="E384" s="2" t="s">
        <v>38</v>
      </c>
      <c r="F384" s="2" t="s">
        <v>43</v>
      </c>
      <c r="G384" s="2" t="s">
        <v>83</v>
      </c>
      <c r="H384" s="4">
        <v>213.3</v>
      </c>
      <c r="I384" s="2" t="s">
        <v>20</v>
      </c>
      <c r="J384" s="6" t="s">
        <v>15</v>
      </c>
    </row>
    <row r="385" spans="1:10" x14ac:dyDescent="0.3">
      <c r="A385" s="5">
        <v>2025</v>
      </c>
      <c r="B385" s="2" t="s">
        <v>97</v>
      </c>
      <c r="C385" s="3">
        <v>45727</v>
      </c>
      <c r="D385" s="2" t="s">
        <v>16</v>
      </c>
      <c r="E385" s="2" t="s">
        <v>38</v>
      </c>
      <c r="F385" s="2" t="s">
        <v>45</v>
      </c>
      <c r="G385" s="2" t="s">
        <v>46</v>
      </c>
      <c r="H385" s="4">
        <v>245.7</v>
      </c>
      <c r="I385" s="2" t="s">
        <v>28</v>
      </c>
      <c r="J385" s="6" t="s">
        <v>15</v>
      </c>
    </row>
    <row r="386" spans="1:10" x14ac:dyDescent="0.3">
      <c r="A386" s="5">
        <v>2025</v>
      </c>
      <c r="B386" s="2" t="s">
        <v>97</v>
      </c>
      <c r="C386" s="3">
        <v>45740</v>
      </c>
      <c r="D386" s="2" t="s">
        <v>16</v>
      </c>
      <c r="E386" s="2" t="s">
        <v>47</v>
      </c>
      <c r="F386" s="2" t="s">
        <v>48</v>
      </c>
      <c r="G386" s="2" t="s">
        <v>49</v>
      </c>
      <c r="H386" s="4">
        <v>1026</v>
      </c>
      <c r="I386" s="2" t="s">
        <v>28</v>
      </c>
      <c r="J386" s="6" t="s">
        <v>15</v>
      </c>
    </row>
    <row r="387" spans="1:10" x14ac:dyDescent="0.3">
      <c r="A387" s="5">
        <v>2025</v>
      </c>
      <c r="B387" s="2" t="s">
        <v>97</v>
      </c>
      <c r="C387" s="3">
        <v>45739</v>
      </c>
      <c r="D387" s="2" t="s">
        <v>16</v>
      </c>
      <c r="E387" s="2" t="s">
        <v>47</v>
      </c>
      <c r="F387" s="2" t="s">
        <v>50</v>
      </c>
      <c r="G387" s="2" t="s">
        <v>51</v>
      </c>
      <c r="H387" s="4">
        <v>491.4</v>
      </c>
      <c r="I387" s="2" t="s">
        <v>28</v>
      </c>
      <c r="J387" s="6" t="s">
        <v>15</v>
      </c>
    </row>
    <row r="388" spans="1:10" x14ac:dyDescent="0.3">
      <c r="A388" s="5">
        <v>2025</v>
      </c>
      <c r="B388" s="2" t="s">
        <v>97</v>
      </c>
      <c r="C388" s="3">
        <v>45735</v>
      </c>
      <c r="D388" s="2" t="s">
        <v>16</v>
      </c>
      <c r="E388" s="2" t="s">
        <v>52</v>
      </c>
      <c r="F388" s="2" t="s">
        <v>53</v>
      </c>
      <c r="G388" s="2" t="s">
        <v>54</v>
      </c>
      <c r="H388" s="4">
        <v>385.2</v>
      </c>
      <c r="I388" s="2" t="s">
        <v>28</v>
      </c>
      <c r="J388" s="6" t="s">
        <v>15</v>
      </c>
    </row>
    <row r="389" spans="1:10" x14ac:dyDescent="0.3">
      <c r="A389" s="5">
        <v>2025</v>
      </c>
      <c r="B389" s="2" t="s">
        <v>97</v>
      </c>
      <c r="C389" s="3">
        <v>45741</v>
      </c>
      <c r="D389" s="2" t="s">
        <v>16</v>
      </c>
      <c r="E389" s="2" t="s">
        <v>52</v>
      </c>
      <c r="F389" s="2" t="s">
        <v>55</v>
      </c>
      <c r="G389" s="2" t="s">
        <v>87</v>
      </c>
      <c r="H389" s="4">
        <v>186.3</v>
      </c>
      <c r="I389" s="2" t="s">
        <v>28</v>
      </c>
      <c r="J389" s="6" t="s">
        <v>15</v>
      </c>
    </row>
    <row r="390" spans="1:10" x14ac:dyDescent="0.3">
      <c r="A390" s="5">
        <v>2025</v>
      </c>
      <c r="B390" s="2" t="s">
        <v>97</v>
      </c>
      <c r="C390" s="3">
        <v>45740</v>
      </c>
      <c r="D390" s="2" t="s">
        <v>16</v>
      </c>
      <c r="E390" s="2" t="s">
        <v>52</v>
      </c>
      <c r="F390" s="2" t="s">
        <v>57</v>
      </c>
      <c r="G390" s="2" t="s">
        <v>58</v>
      </c>
      <c r="H390" s="4">
        <v>271.8</v>
      </c>
      <c r="I390" s="2" t="s">
        <v>28</v>
      </c>
      <c r="J390" s="6" t="s">
        <v>15</v>
      </c>
    </row>
    <row r="391" spans="1:10" x14ac:dyDescent="0.3">
      <c r="A391" s="5">
        <v>2025</v>
      </c>
      <c r="B391" s="2" t="s">
        <v>97</v>
      </c>
      <c r="C391" s="3">
        <v>45727</v>
      </c>
      <c r="D391" s="2" t="s">
        <v>16</v>
      </c>
      <c r="E391" s="2" t="s">
        <v>52</v>
      </c>
      <c r="F391" s="2" t="s">
        <v>59</v>
      </c>
      <c r="G391" s="2" t="s">
        <v>95</v>
      </c>
      <c r="H391" s="4">
        <v>721.8</v>
      </c>
      <c r="I391" s="2" t="s">
        <v>20</v>
      </c>
      <c r="J391" s="6" t="s">
        <v>15</v>
      </c>
    </row>
    <row r="392" spans="1:10" x14ac:dyDescent="0.3">
      <c r="A392" s="5">
        <v>2025</v>
      </c>
      <c r="B392" s="2" t="s">
        <v>97</v>
      </c>
      <c r="C392" s="3">
        <v>45721</v>
      </c>
      <c r="D392" s="2" t="s">
        <v>16</v>
      </c>
      <c r="E392" s="2" t="s">
        <v>61</v>
      </c>
      <c r="F392" s="2" t="s">
        <v>62</v>
      </c>
      <c r="G392" s="2" t="s">
        <v>63</v>
      </c>
      <c r="H392" s="4">
        <v>760.5</v>
      </c>
      <c r="I392" s="2" t="s">
        <v>28</v>
      </c>
      <c r="J392" s="6" t="s">
        <v>15</v>
      </c>
    </row>
    <row r="393" spans="1:10" x14ac:dyDescent="0.3">
      <c r="A393" s="5">
        <v>2025</v>
      </c>
      <c r="B393" s="2" t="s">
        <v>97</v>
      </c>
      <c r="C393" s="3">
        <v>45721</v>
      </c>
      <c r="D393" s="2" t="s">
        <v>16</v>
      </c>
      <c r="E393" s="2" t="s">
        <v>61</v>
      </c>
      <c r="F393" s="2" t="s">
        <v>64</v>
      </c>
      <c r="G393" s="2" t="s">
        <v>63</v>
      </c>
      <c r="H393" s="4">
        <v>875.7</v>
      </c>
      <c r="I393" s="2" t="s">
        <v>20</v>
      </c>
      <c r="J393" s="6" t="s">
        <v>15</v>
      </c>
    </row>
    <row r="394" spans="1:10" x14ac:dyDescent="0.3">
      <c r="A394" s="5">
        <v>2025</v>
      </c>
      <c r="B394" s="2" t="s">
        <v>97</v>
      </c>
      <c r="C394" s="3">
        <v>45724</v>
      </c>
      <c r="D394" s="2" t="s">
        <v>16</v>
      </c>
      <c r="E394" s="2" t="s">
        <v>65</v>
      </c>
      <c r="F394" s="2" t="s">
        <v>66</v>
      </c>
      <c r="G394" s="2" t="s">
        <v>67</v>
      </c>
      <c r="H394" s="4">
        <v>2607.3000000000002</v>
      </c>
      <c r="I394" s="2" t="s">
        <v>28</v>
      </c>
      <c r="J394" s="6" t="s">
        <v>15</v>
      </c>
    </row>
    <row r="395" spans="1:10" x14ac:dyDescent="0.3">
      <c r="A395" s="5">
        <v>2025</v>
      </c>
      <c r="B395" s="2" t="s">
        <v>97</v>
      </c>
      <c r="C395" s="3">
        <v>45742</v>
      </c>
      <c r="D395" s="2" t="s">
        <v>68</v>
      </c>
      <c r="E395" s="2" t="s">
        <v>69</v>
      </c>
      <c r="F395" s="2" t="s">
        <v>70</v>
      </c>
      <c r="G395" s="2" t="s">
        <v>71</v>
      </c>
      <c r="H395" s="4">
        <v>3070</v>
      </c>
      <c r="I395" s="2" t="s">
        <v>72</v>
      </c>
      <c r="J395" s="6" t="s">
        <v>15</v>
      </c>
    </row>
    <row r="396" spans="1:10" x14ac:dyDescent="0.3">
      <c r="A396" s="5">
        <v>2025</v>
      </c>
      <c r="B396" s="2" t="s">
        <v>97</v>
      </c>
      <c r="C396" s="3">
        <v>45722</v>
      </c>
      <c r="D396" s="2" t="s">
        <v>68</v>
      </c>
      <c r="E396" s="2" t="s">
        <v>69</v>
      </c>
      <c r="F396" s="2" t="s">
        <v>73</v>
      </c>
      <c r="G396" s="2" t="s">
        <v>71</v>
      </c>
      <c r="H396" s="4">
        <v>2019</v>
      </c>
      <c r="I396" s="2" t="s">
        <v>72</v>
      </c>
      <c r="J396" s="6" t="s">
        <v>15</v>
      </c>
    </row>
    <row r="397" spans="1:10" x14ac:dyDescent="0.3">
      <c r="A397" s="5">
        <v>2025</v>
      </c>
      <c r="B397" s="2" t="s">
        <v>97</v>
      </c>
      <c r="C397" s="3">
        <v>45728</v>
      </c>
      <c r="D397" s="2" t="s">
        <v>68</v>
      </c>
      <c r="E397" s="2" t="s">
        <v>69</v>
      </c>
      <c r="F397" s="2" t="s">
        <v>74</v>
      </c>
      <c r="G397" s="2" t="s">
        <v>75</v>
      </c>
      <c r="H397" s="4">
        <v>1163</v>
      </c>
      <c r="I397" s="2" t="s">
        <v>72</v>
      </c>
      <c r="J397" s="6" t="s">
        <v>15</v>
      </c>
    </row>
    <row r="398" spans="1:10" x14ac:dyDescent="0.3">
      <c r="A398" s="5">
        <v>2025</v>
      </c>
      <c r="B398" s="2" t="s">
        <v>97</v>
      </c>
      <c r="C398" s="3">
        <v>45730</v>
      </c>
      <c r="D398" s="2" t="s">
        <v>68</v>
      </c>
      <c r="E398" s="2" t="s">
        <v>69</v>
      </c>
      <c r="F398" s="2" t="s">
        <v>76</v>
      </c>
      <c r="G398" s="2" t="s">
        <v>77</v>
      </c>
      <c r="H398" s="4">
        <v>680</v>
      </c>
      <c r="I398" s="2" t="s">
        <v>72</v>
      </c>
      <c r="J398" s="6" t="s">
        <v>15</v>
      </c>
    </row>
    <row r="399" spans="1:10" x14ac:dyDescent="0.3">
      <c r="A399" s="5">
        <v>2025</v>
      </c>
      <c r="B399" s="2" t="s">
        <v>99</v>
      </c>
      <c r="C399" s="3">
        <v>45748</v>
      </c>
      <c r="D399" s="2" t="s">
        <v>11</v>
      </c>
      <c r="E399" s="2" t="s">
        <v>12</v>
      </c>
      <c r="F399" s="2" t="s">
        <v>12</v>
      </c>
      <c r="G399" s="2" t="s">
        <v>13</v>
      </c>
      <c r="H399" s="4">
        <v>28545</v>
      </c>
      <c r="I399" s="2" t="s">
        <v>14</v>
      </c>
      <c r="J399" s="6" t="s">
        <v>15</v>
      </c>
    </row>
    <row r="400" spans="1:10" x14ac:dyDescent="0.3">
      <c r="A400" s="5">
        <v>2025</v>
      </c>
      <c r="B400" s="2" t="s">
        <v>99</v>
      </c>
      <c r="C400" s="3">
        <v>45758</v>
      </c>
      <c r="D400" s="2" t="s">
        <v>16</v>
      </c>
      <c r="E400" s="2" t="s">
        <v>17</v>
      </c>
      <c r="F400" s="2" t="s">
        <v>18</v>
      </c>
      <c r="G400" s="2" t="s">
        <v>19</v>
      </c>
      <c r="H400" s="4">
        <v>7212.6</v>
      </c>
      <c r="I400" s="2" t="s">
        <v>28</v>
      </c>
      <c r="J400" s="6" t="s">
        <v>15</v>
      </c>
    </row>
    <row r="401" spans="1:10" x14ac:dyDescent="0.3">
      <c r="A401" s="5">
        <v>2025</v>
      </c>
      <c r="B401" s="2" t="s">
        <v>99</v>
      </c>
      <c r="C401" s="3">
        <v>45763</v>
      </c>
      <c r="D401" s="2" t="s">
        <v>16</v>
      </c>
      <c r="E401" s="2" t="s">
        <v>17</v>
      </c>
      <c r="F401" s="2" t="s">
        <v>21</v>
      </c>
      <c r="G401" s="2" t="s">
        <v>22</v>
      </c>
      <c r="H401" s="4">
        <v>452.7</v>
      </c>
      <c r="I401" s="2" t="s">
        <v>20</v>
      </c>
      <c r="J401" s="6" t="s">
        <v>15</v>
      </c>
    </row>
    <row r="402" spans="1:10" x14ac:dyDescent="0.3">
      <c r="A402" s="5">
        <v>2025</v>
      </c>
      <c r="B402" s="2" t="s">
        <v>99</v>
      </c>
      <c r="C402" s="3">
        <v>45750</v>
      </c>
      <c r="D402" s="2" t="s">
        <v>16</v>
      </c>
      <c r="E402" s="2" t="s">
        <v>23</v>
      </c>
      <c r="F402" s="2" t="s">
        <v>24</v>
      </c>
      <c r="G402" s="2" t="s">
        <v>79</v>
      </c>
      <c r="H402" s="4">
        <v>2389.5</v>
      </c>
      <c r="I402" s="2" t="s">
        <v>28</v>
      </c>
      <c r="J402" s="6" t="s">
        <v>15</v>
      </c>
    </row>
    <row r="403" spans="1:10" x14ac:dyDescent="0.3">
      <c r="A403" s="5">
        <v>2025</v>
      </c>
      <c r="B403" s="2" t="s">
        <v>99</v>
      </c>
      <c r="C403" s="3">
        <v>45752</v>
      </c>
      <c r="D403" s="2" t="s">
        <v>16</v>
      </c>
      <c r="E403" s="2" t="s">
        <v>23</v>
      </c>
      <c r="F403" s="2" t="s">
        <v>26</v>
      </c>
      <c r="G403" s="2" t="s">
        <v>80</v>
      </c>
      <c r="H403" s="4">
        <v>666</v>
      </c>
      <c r="I403" s="2" t="s">
        <v>28</v>
      </c>
      <c r="J403" s="6" t="s">
        <v>15</v>
      </c>
    </row>
    <row r="404" spans="1:10" x14ac:dyDescent="0.3">
      <c r="A404" s="5">
        <v>2025</v>
      </c>
      <c r="B404" s="2" t="s">
        <v>99</v>
      </c>
      <c r="C404" s="3">
        <v>45764</v>
      </c>
      <c r="D404" s="2" t="s">
        <v>16</v>
      </c>
      <c r="E404" s="2" t="s">
        <v>23</v>
      </c>
      <c r="F404" s="2" t="s">
        <v>29</v>
      </c>
      <c r="G404" s="2" t="s">
        <v>80</v>
      </c>
      <c r="H404" s="4">
        <v>454.5</v>
      </c>
      <c r="I404" s="2" t="s">
        <v>14</v>
      </c>
      <c r="J404" s="6" t="s">
        <v>15</v>
      </c>
    </row>
    <row r="405" spans="1:10" x14ac:dyDescent="0.3">
      <c r="A405" s="5">
        <v>2025</v>
      </c>
      <c r="B405" s="2" t="s">
        <v>99</v>
      </c>
      <c r="C405" s="3">
        <v>45769</v>
      </c>
      <c r="D405" s="2" t="s">
        <v>16</v>
      </c>
      <c r="E405" s="2" t="s">
        <v>31</v>
      </c>
      <c r="F405" s="2" t="s">
        <v>32</v>
      </c>
      <c r="G405" s="2" t="s">
        <v>81</v>
      </c>
      <c r="H405" s="4">
        <v>641.70000000000005</v>
      </c>
      <c r="I405" s="2" t="s">
        <v>20</v>
      </c>
      <c r="J405" s="6" t="s">
        <v>15</v>
      </c>
    </row>
    <row r="406" spans="1:10" x14ac:dyDescent="0.3">
      <c r="A406" s="5">
        <v>2025</v>
      </c>
      <c r="B406" s="2" t="s">
        <v>99</v>
      </c>
      <c r="C406" s="3">
        <v>45753</v>
      </c>
      <c r="D406" s="2" t="s">
        <v>16</v>
      </c>
      <c r="E406" s="2" t="s">
        <v>31</v>
      </c>
      <c r="F406" s="2" t="s">
        <v>34</v>
      </c>
      <c r="G406" s="2" t="s">
        <v>98</v>
      </c>
      <c r="H406" s="4">
        <v>248.4</v>
      </c>
      <c r="I406" s="2" t="s">
        <v>14</v>
      </c>
      <c r="J406" s="6" t="s">
        <v>15</v>
      </c>
    </row>
    <row r="407" spans="1:10" x14ac:dyDescent="0.3">
      <c r="A407" s="5">
        <v>2025</v>
      </c>
      <c r="B407" s="2" t="s">
        <v>99</v>
      </c>
      <c r="C407" s="3">
        <v>45758</v>
      </c>
      <c r="D407" s="2" t="s">
        <v>16</v>
      </c>
      <c r="E407" s="2" t="s">
        <v>31</v>
      </c>
      <c r="F407" s="2" t="s">
        <v>36</v>
      </c>
      <c r="G407" s="2" t="s">
        <v>37</v>
      </c>
      <c r="H407" s="4">
        <v>241.2</v>
      </c>
      <c r="I407" s="2" t="s">
        <v>20</v>
      </c>
      <c r="J407" s="6" t="s">
        <v>15</v>
      </c>
    </row>
    <row r="408" spans="1:10" x14ac:dyDescent="0.3">
      <c r="A408" s="5">
        <v>2025</v>
      </c>
      <c r="B408" s="2" t="s">
        <v>99</v>
      </c>
      <c r="C408" s="3">
        <v>45752</v>
      </c>
      <c r="D408" s="2" t="s">
        <v>16</v>
      </c>
      <c r="E408" s="2" t="s">
        <v>38</v>
      </c>
      <c r="F408" s="2" t="s">
        <v>39</v>
      </c>
      <c r="G408" s="2" t="s">
        <v>40</v>
      </c>
      <c r="H408" s="4">
        <v>617.4</v>
      </c>
      <c r="I408" s="2" t="s">
        <v>14</v>
      </c>
      <c r="J408" s="6" t="s">
        <v>15</v>
      </c>
    </row>
    <row r="409" spans="1:10" x14ac:dyDescent="0.3">
      <c r="A409" s="5">
        <v>2025</v>
      </c>
      <c r="B409" s="2" t="s">
        <v>99</v>
      </c>
      <c r="C409" s="3">
        <v>45768</v>
      </c>
      <c r="D409" s="2" t="s">
        <v>16</v>
      </c>
      <c r="E409" s="2" t="s">
        <v>38</v>
      </c>
      <c r="F409" s="2" t="s">
        <v>41</v>
      </c>
      <c r="G409" s="2" t="s">
        <v>83</v>
      </c>
      <c r="H409" s="4">
        <v>247.5</v>
      </c>
      <c r="I409" s="2" t="s">
        <v>14</v>
      </c>
      <c r="J409" s="6" t="s">
        <v>15</v>
      </c>
    </row>
    <row r="410" spans="1:10" x14ac:dyDescent="0.3">
      <c r="A410" s="5">
        <v>2025</v>
      </c>
      <c r="B410" s="2" t="s">
        <v>99</v>
      </c>
      <c r="C410" s="3">
        <v>45761</v>
      </c>
      <c r="D410" s="2" t="s">
        <v>16</v>
      </c>
      <c r="E410" s="2" t="s">
        <v>38</v>
      </c>
      <c r="F410" s="2" t="s">
        <v>43</v>
      </c>
      <c r="G410" s="2" t="s">
        <v>44</v>
      </c>
      <c r="H410" s="4">
        <v>182.7</v>
      </c>
      <c r="I410" s="2" t="s">
        <v>28</v>
      </c>
      <c r="J410" s="6" t="s">
        <v>15</v>
      </c>
    </row>
    <row r="411" spans="1:10" x14ac:dyDescent="0.3">
      <c r="A411" s="5">
        <v>2025</v>
      </c>
      <c r="B411" s="2" t="s">
        <v>99</v>
      </c>
      <c r="C411" s="3">
        <v>45758</v>
      </c>
      <c r="D411" s="2" t="s">
        <v>16</v>
      </c>
      <c r="E411" s="2" t="s">
        <v>38</v>
      </c>
      <c r="F411" s="2" t="s">
        <v>45</v>
      </c>
      <c r="G411" s="2" t="s">
        <v>46</v>
      </c>
      <c r="H411" s="4">
        <v>259.2</v>
      </c>
      <c r="I411" s="2" t="s">
        <v>28</v>
      </c>
      <c r="J411" s="6" t="s">
        <v>15</v>
      </c>
    </row>
    <row r="412" spans="1:10" x14ac:dyDescent="0.3">
      <c r="A412" s="5">
        <v>2025</v>
      </c>
      <c r="B412" s="2" t="s">
        <v>99</v>
      </c>
      <c r="C412" s="3">
        <v>45767</v>
      </c>
      <c r="D412" s="2" t="s">
        <v>16</v>
      </c>
      <c r="E412" s="2" t="s">
        <v>47</v>
      </c>
      <c r="F412" s="2" t="s">
        <v>48</v>
      </c>
      <c r="G412" s="2" t="s">
        <v>49</v>
      </c>
      <c r="H412" s="4">
        <v>519.29999999999995</v>
      </c>
      <c r="I412" s="2" t="s">
        <v>14</v>
      </c>
      <c r="J412" s="6" t="s">
        <v>15</v>
      </c>
    </row>
    <row r="413" spans="1:10" x14ac:dyDescent="0.3">
      <c r="A413" s="5">
        <v>2025</v>
      </c>
      <c r="B413" s="2" t="s">
        <v>99</v>
      </c>
      <c r="C413" s="3">
        <v>45772</v>
      </c>
      <c r="D413" s="2" t="s">
        <v>16</v>
      </c>
      <c r="E413" s="2" t="s">
        <v>47</v>
      </c>
      <c r="F413" s="2" t="s">
        <v>50</v>
      </c>
      <c r="G413" s="2" t="s">
        <v>85</v>
      </c>
      <c r="H413" s="4">
        <v>546.29999999999995</v>
      </c>
      <c r="I413" s="2" t="s">
        <v>20</v>
      </c>
      <c r="J413" s="6" t="s">
        <v>15</v>
      </c>
    </row>
    <row r="414" spans="1:10" x14ac:dyDescent="0.3">
      <c r="A414" s="5">
        <v>2025</v>
      </c>
      <c r="B414" s="2" t="s">
        <v>99</v>
      </c>
      <c r="C414" s="3">
        <v>45769</v>
      </c>
      <c r="D414" s="2" t="s">
        <v>16</v>
      </c>
      <c r="E414" s="2" t="s">
        <v>52</v>
      </c>
      <c r="F414" s="2" t="s">
        <v>53</v>
      </c>
      <c r="G414" s="2" t="s">
        <v>86</v>
      </c>
      <c r="H414" s="4">
        <v>157.5</v>
      </c>
      <c r="I414" s="2" t="s">
        <v>28</v>
      </c>
      <c r="J414" s="6" t="s">
        <v>15</v>
      </c>
    </row>
    <row r="415" spans="1:10" x14ac:dyDescent="0.3">
      <c r="A415" s="5">
        <v>2025</v>
      </c>
      <c r="B415" s="2" t="s">
        <v>99</v>
      </c>
      <c r="C415" s="3">
        <v>45770</v>
      </c>
      <c r="D415" s="2" t="s">
        <v>16</v>
      </c>
      <c r="E415" s="2" t="s">
        <v>52</v>
      </c>
      <c r="F415" s="2" t="s">
        <v>55</v>
      </c>
      <c r="G415" s="2" t="s">
        <v>56</v>
      </c>
      <c r="H415" s="4">
        <v>207.9</v>
      </c>
      <c r="I415" s="2" t="s">
        <v>20</v>
      </c>
      <c r="J415" s="6" t="s">
        <v>15</v>
      </c>
    </row>
    <row r="416" spans="1:10" x14ac:dyDescent="0.3">
      <c r="A416" s="5">
        <v>2025</v>
      </c>
      <c r="B416" s="2" t="s">
        <v>99</v>
      </c>
      <c r="C416" s="3">
        <v>45756</v>
      </c>
      <c r="D416" s="2" t="s">
        <v>16</v>
      </c>
      <c r="E416" s="2" t="s">
        <v>52</v>
      </c>
      <c r="F416" s="2" t="s">
        <v>57</v>
      </c>
      <c r="G416" s="2" t="s">
        <v>58</v>
      </c>
      <c r="H416" s="4">
        <v>81</v>
      </c>
      <c r="I416" s="2" t="s">
        <v>14</v>
      </c>
      <c r="J416" s="6" t="s">
        <v>15</v>
      </c>
    </row>
    <row r="417" spans="1:10" x14ac:dyDescent="0.3">
      <c r="A417" s="5">
        <v>2025</v>
      </c>
      <c r="B417" s="2" t="s">
        <v>99</v>
      </c>
      <c r="C417" s="3">
        <v>45751</v>
      </c>
      <c r="D417" s="2" t="s">
        <v>16</v>
      </c>
      <c r="E417" s="2" t="s">
        <v>52</v>
      </c>
      <c r="F417" s="2" t="s">
        <v>59</v>
      </c>
      <c r="G417" s="2" t="s">
        <v>60</v>
      </c>
      <c r="H417" s="4">
        <v>582.29999999999995</v>
      </c>
      <c r="I417" s="2" t="s">
        <v>20</v>
      </c>
      <c r="J417" s="6" t="s">
        <v>15</v>
      </c>
    </row>
    <row r="418" spans="1:10" x14ac:dyDescent="0.3">
      <c r="A418" s="5">
        <v>2025</v>
      </c>
      <c r="B418" s="2" t="s">
        <v>99</v>
      </c>
      <c r="C418" s="3">
        <v>45762</v>
      </c>
      <c r="D418" s="2" t="s">
        <v>16</v>
      </c>
      <c r="E418" s="2" t="s">
        <v>61</v>
      </c>
      <c r="F418" s="2" t="s">
        <v>62</v>
      </c>
      <c r="G418" s="2" t="s">
        <v>63</v>
      </c>
      <c r="H418" s="4">
        <v>650.70000000000005</v>
      </c>
      <c r="I418" s="2" t="s">
        <v>14</v>
      </c>
      <c r="J418" s="6" t="s">
        <v>15</v>
      </c>
    </row>
    <row r="419" spans="1:10" x14ac:dyDescent="0.3">
      <c r="A419" s="5">
        <v>2025</v>
      </c>
      <c r="B419" s="2" t="s">
        <v>99</v>
      </c>
      <c r="C419" s="3">
        <v>45768</v>
      </c>
      <c r="D419" s="2" t="s">
        <v>16</v>
      </c>
      <c r="E419" s="2" t="s">
        <v>61</v>
      </c>
      <c r="F419" s="2" t="s">
        <v>64</v>
      </c>
      <c r="G419" s="2" t="s">
        <v>63</v>
      </c>
      <c r="H419" s="4">
        <v>735.3</v>
      </c>
      <c r="I419" s="2" t="s">
        <v>28</v>
      </c>
      <c r="J419" s="6" t="s">
        <v>15</v>
      </c>
    </row>
    <row r="420" spans="1:10" x14ac:dyDescent="0.3">
      <c r="A420" s="5">
        <v>2025</v>
      </c>
      <c r="B420" s="2" t="s">
        <v>99</v>
      </c>
      <c r="C420" s="3">
        <v>45750</v>
      </c>
      <c r="D420" s="2" t="s">
        <v>16</v>
      </c>
      <c r="E420" s="2" t="s">
        <v>65</v>
      </c>
      <c r="F420" s="2" t="s">
        <v>66</v>
      </c>
      <c r="G420" s="2" t="s">
        <v>67</v>
      </c>
      <c r="H420" s="4">
        <v>2189.6999999999998</v>
      </c>
      <c r="I420" s="2" t="s">
        <v>28</v>
      </c>
      <c r="J420" s="6" t="s">
        <v>15</v>
      </c>
    </row>
    <row r="421" spans="1:10" x14ac:dyDescent="0.3">
      <c r="A421" s="5">
        <v>2025</v>
      </c>
      <c r="B421" s="2" t="s">
        <v>99</v>
      </c>
      <c r="C421" s="3">
        <v>45772</v>
      </c>
      <c r="D421" s="2" t="s">
        <v>68</v>
      </c>
      <c r="E421" s="2" t="s">
        <v>69</v>
      </c>
      <c r="F421" s="2" t="s">
        <v>70</v>
      </c>
      <c r="G421" s="2" t="s">
        <v>71</v>
      </c>
      <c r="H421" s="4">
        <v>2481</v>
      </c>
      <c r="I421" s="2" t="s">
        <v>72</v>
      </c>
      <c r="J421" s="6" t="s">
        <v>15</v>
      </c>
    </row>
    <row r="422" spans="1:10" x14ac:dyDescent="0.3">
      <c r="A422" s="5">
        <v>2025</v>
      </c>
      <c r="B422" s="2" t="s">
        <v>99</v>
      </c>
      <c r="C422" s="3">
        <v>45772</v>
      </c>
      <c r="D422" s="2" t="s">
        <v>68</v>
      </c>
      <c r="E422" s="2" t="s">
        <v>69</v>
      </c>
      <c r="F422" s="2" t="s">
        <v>73</v>
      </c>
      <c r="G422" s="2" t="s">
        <v>71</v>
      </c>
      <c r="H422" s="4">
        <v>1630</v>
      </c>
      <c r="I422" s="2" t="s">
        <v>72</v>
      </c>
      <c r="J422" s="6" t="s">
        <v>15</v>
      </c>
    </row>
    <row r="423" spans="1:10" x14ac:dyDescent="0.3">
      <c r="A423" s="5">
        <v>2025</v>
      </c>
      <c r="B423" s="2" t="s">
        <v>99</v>
      </c>
      <c r="C423" s="3">
        <v>45752</v>
      </c>
      <c r="D423" s="2" t="s">
        <v>68</v>
      </c>
      <c r="E423" s="2" t="s">
        <v>69</v>
      </c>
      <c r="F423" s="2" t="s">
        <v>74</v>
      </c>
      <c r="G423" s="2" t="s">
        <v>75</v>
      </c>
      <c r="H423" s="4">
        <v>922</v>
      </c>
      <c r="I423" s="2" t="s">
        <v>72</v>
      </c>
      <c r="J423" s="6" t="s">
        <v>15</v>
      </c>
    </row>
    <row r="424" spans="1:10" x14ac:dyDescent="0.3">
      <c r="A424" s="5">
        <v>2025</v>
      </c>
      <c r="B424" s="2" t="s">
        <v>99</v>
      </c>
      <c r="C424" s="3">
        <v>45758</v>
      </c>
      <c r="D424" s="2" t="s">
        <v>68</v>
      </c>
      <c r="E424" s="2" t="s">
        <v>69</v>
      </c>
      <c r="F424" s="2" t="s">
        <v>76</v>
      </c>
      <c r="G424" s="2" t="s">
        <v>77</v>
      </c>
      <c r="H424" s="4">
        <v>539</v>
      </c>
      <c r="I424" s="2" t="s">
        <v>72</v>
      </c>
      <c r="J424" s="6" t="s">
        <v>15</v>
      </c>
    </row>
    <row r="425" spans="1:10" x14ac:dyDescent="0.3">
      <c r="A425" s="5">
        <v>2025</v>
      </c>
      <c r="B425" s="2" t="s">
        <v>100</v>
      </c>
      <c r="C425" s="3">
        <v>45778</v>
      </c>
      <c r="D425" s="2" t="s">
        <v>11</v>
      </c>
      <c r="E425" s="2" t="s">
        <v>12</v>
      </c>
      <c r="F425" s="2" t="s">
        <v>12</v>
      </c>
      <c r="G425" s="2" t="s">
        <v>13</v>
      </c>
      <c r="H425" s="4">
        <v>35091</v>
      </c>
      <c r="I425" s="2" t="s">
        <v>14</v>
      </c>
      <c r="J425" s="6" t="s">
        <v>15</v>
      </c>
    </row>
    <row r="426" spans="1:10" x14ac:dyDescent="0.3">
      <c r="A426" s="5">
        <v>2025</v>
      </c>
      <c r="B426" s="2" t="s">
        <v>100</v>
      </c>
      <c r="C426" s="3">
        <v>45788</v>
      </c>
      <c r="D426" s="2" t="s">
        <v>16</v>
      </c>
      <c r="E426" s="2" t="s">
        <v>17</v>
      </c>
      <c r="F426" s="2" t="s">
        <v>18</v>
      </c>
      <c r="G426" s="2" t="s">
        <v>19</v>
      </c>
      <c r="H426" s="4">
        <v>13419.9</v>
      </c>
      <c r="I426" s="2" t="s">
        <v>20</v>
      </c>
      <c r="J426" s="6" t="s">
        <v>15</v>
      </c>
    </row>
    <row r="427" spans="1:10" x14ac:dyDescent="0.3">
      <c r="A427" s="5">
        <v>2025</v>
      </c>
      <c r="B427" s="2" t="s">
        <v>100</v>
      </c>
      <c r="C427" s="3">
        <v>45793</v>
      </c>
      <c r="D427" s="2" t="s">
        <v>16</v>
      </c>
      <c r="E427" s="2" t="s">
        <v>17</v>
      </c>
      <c r="F427" s="2" t="s">
        <v>21</v>
      </c>
      <c r="G427" s="2" t="s">
        <v>22</v>
      </c>
      <c r="H427" s="4">
        <v>425.7</v>
      </c>
      <c r="I427" s="2" t="s">
        <v>14</v>
      </c>
      <c r="J427" s="6" t="s">
        <v>15</v>
      </c>
    </row>
    <row r="428" spans="1:10" x14ac:dyDescent="0.3">
      <c r="A428" s="5">
        <v>2025</v>
      </c>
      <c r="B428" s="2" t="s">
        <v>100</v>
      </c>
      <c r="C428" s="3">
        <v>45791</v>
      </c>
      <c r="D428" s="2" t="s">
        <v>16</v>
      </c>
      <c r="E428" s="2" t="s">
        <v>23</v>
      </c>
      <c r="F428" s="2" t="s">
        <v>24</v>
      </c>
      <c r="G428" s="2" t="s">
        <v>79</v>
      </c>
      <c r="H428" s="4">
        <v>230.4</v>
      </c>
      <c r="I428" s="2" t="s">
        <v>14</v>
      </c>
      <c r="J428" s="6" t="s">
        <v>15</v>
      </c>
    </row>
    <row r="429" spans="1:10" x14ac:dyDescent="0.3">
      <c r="A429" s="5">
        <v>2025</v>
      </c>
      <c r="B429" s="2" t="s">
        <v>100</v>
      </c>
      <c r="C429" s="3">
        <v>45796</v>
      </c>
      <c r="D429" s="2" t="s">
        <v>16</v>
      </c>
      <c r="E429" s="2" t="s">
        <v>23</v>
      </c>
      <c r="F429" s="2" t="s">
        <v>26</v>
      </c>
      <c r="G429" s="2" t="s">
        <v>30</v>
      </c>
      <c r="H429" s="4">
        <v>659.7</v>
      </c>
      <c r="I429" s="2" t="s">
        <v>28</v>
      </c>
      <c r="J429" s="6" t="s">
        <v>15</v>
      </c>
    </row>
    <row r="430" spans="1:10" x14ac:dyDescent="0.3">
      <c r="A430" s="5">
        <v>2025</v>
      </c>
      <c r="B430" s="2" t="s">
        <v>100</v>
      </c>
      <c r="C430" s="3">
        <v>45781</v>
      </c>
      <c r="D430" s="2" t="s">
        <v>16</v>
      </c>
      <c r="E430" s="2" t="s">
        <v>23</v>
      </c>
      <c r="F430" s="2" t="s">
        <v>29</v>
      </c>
      <c r="G430" s="2" t="s">
        <v>80</v>
      </c>
      <c r="H430" s="4">
        <v>561.6</v>
      </c>
      <c r="I430" s="2" t="s">
        <v>28</v>
      </c>
      <c r="J430" s="6" t="s">
        <v>15</v>
      </c>
    </row>
    <row r="431" spans="1:10" x14ac:dyDescent="0.3">
      <c r="A431" s="5">
        <v>2025</v>
      </c>
      <c r="B431" s="2" t="s">
        <v>100</v>
      </c>
      <c r="C431" s="3">
        <v>45802</v>
      </c>
      <c r="D431" s="2" t="s">
        <v>16</v>
      </c>
      <c r="E431" s="2" t="s">
        <v>31</v>
      </c>
      <c r="F431" s="2" t="s">
        <v>32</v>
      </c>
      <c r="G431" s="2" t="s">
        <v>92</v>
      </c>
      <c r="H431" s="4">
        <v>47.7</v>
      </c>
      <c r="I431" s="2" t="s">
        <v>14</v>
      </c>
      <c r="J431" s="6" t="s">
        <v>15</v>
      </c>
    </row>
    <row r="432" spans="1:10" x14ac:dyDescent="0.3">
      <c r="A432" s="5">
        <v>2025</v>
      </c>
      <c r="B432" s="2" t="s">
        <v>100</v>
      </c>
      <c r="C432" s="3">
        <v>45787</v>
      </c>
      <c r="D432" s="2" t="s">
        <v>16</v>
      </c>
      <c r="E432" s="2" t="s">
        <v>31</v>
      </c>
      <c r="F432" s="2" t="s">
        <v>34</v>
      </c>
      <c r="G432" s="2" t="s">
        <v>98</v>
      </c>
      <c r="H432" s="4">
        <v>258.3</v>
      </c>
      <c r="I432" s="2" t="s">
        <v>20</v>
      </c>
      <c r="J432" s="6" t="s">
        <v>15</v>
      </c>
    </row>
    <row r="433" spans="1:10" x14ac:dyDescent="0.3">
      <c r="A433" s="5">
        <v>2025</v>
      </c>
      <c r="B433" s="2" t="s">
        <v>100</v>
      </c>
      <c r="C433" s="3">
        <v>45786</v>
      </c>
      <c r="D433" s="2" t="s">
        <v>16</v>
      </c>
      <c r="E433" s="2" t="s">
        <v>31</v>
      </c>
      <c r="F433" s="2" t="s">
        <v>36</v>
      </c>
      <c r="G433" s="2" t="s">
        <v>37</v>
      </c>
      <c r="H433" s="4">
        <v>238.5</v>
      </c>
      <c r="I433" s="2" t="s">
        <v>14</v>
      </c>
      <c r="J433" s="6" t="s">
        <v>15</v>
      </c>
    </row>
    <row r="434" spans="1:10" x14ac:dyDescent="0.3">
      <c r="A434" s="5">
        <v>2025</v>
      </c>
      <c r="B434" s="2" t="s">
        <v>100</v>
      </c>
      <c r="C434" s="3">
        <v>45805</v>
      </c>
      <c r="D434" s="2" t="s">
        <v>16</v>
      </c>
      <c r="E434" s="2" t="s">
        <v>38</v>
      </c>
      <c r="F434" s="2" t="s">
        <v>39</v>
      </c>
      <c r="G434" s="2" t="s">
        <v>40</v>
      </c>
      <c r="H434" s="4">
        <v>465.3</v>
      </c>
      <c r="I434" s="2" t="s">
        <v>14</v>
      </c>
      <c r="J434" s="6" t="s">
        <v>15</v>
      </c>
    </row>
    <row r="435" spans="1:10" x14ac:dyDescent="0.3">
      <c r="A435" s="5">
        <v>2025</v>
      </c>
      <c r="B435" s="2" t="s">
        <v>100</v>
      </c>
      <c r="C435" s="3">
        <v>45780</v>
      </c>
      <c r="D435" s="2" t="s">
        <v>16</v>
      </c>
      <c r="E435" s="2" t="s">
        <v>38</v>
      </c>
      <c r="F435" s="2" t="s">
        <v>41</v>
      </c>
      <c r="G435" s="2" t="s">
        <v>83</v>
      </c>
      <c r="H435" s="4">
        <v>29.7</v>
      </c>
      <c r="I435" s="2" t="s">
        <v>28</v>
      </c>
      <c r="J435" s="6" t="s">
        <v>15</v>
      </c>
    </row>
    <row r="436" spans="1:10" x14ac:dyDescent="0.3">
      <c r="A436" s="5">
        <v>2025</v>
      </c>
      <c r="B436" s="2" t="s">
        <v>100</v>
      </c>
      <c r="C436" s="3">
        <v>45795</v>
      </c>
      <c r="D436" s="2" t="s">
        <v>16</v>
      </c>
      <c r="E436" s="2" t="s">
        <v>38</v>
      </c>
      <c r="F436" s="2" t="s">
        <v>43</v>
      </c>
      <c r="G436" s="2" t="s">
        <v>44</v>
      </c>
      <c r="H436" s="4">
        <v>153.9</v>
      </c>
      <c r="I436" s="2" t="s">
        <v>28</v>
      </c>
      <c r="J436" s="6" t="s">
        <v>15</v>
      </c>
    </row>
    <row r="437" spans="1:10" x14ac:dyDescent="0.3">
      <c r="A437" s="5">
        <v>2025</v>
      </c>
      <c r="B437" s="2" t="s">
        <v>100</v>
      </c>
      <c r="C437" s="3">
        <v>45784</v>
      </c>
      <c r="D437" s="2" t="s">
        <v>16</v>
      </c>
      <c r="E437" s="2" t="s">
        <v>38</v>
      </c>
      <c r="F437" s="2" t="s">
        <v>45</v>
      </c>
      <c r="G437" s="2" t="s">
        <v>46</v>
      </c>
      <c r="H437" s="4">
        <v>155.69999999999999</v>
      </c>
      <c r="I437" s="2" t="s">
        <v>14</v>
      </c>
      <c r="J437" s="6" t="s">
        <v>15</v>
      </c>
    </row>
    <row r="438" spans="1:10" x14ac:dyDescent="0.3">
      <c r="A438" s="5">
        <v>2025</v>
      </c>
      <c r="B438" s="2" t="s">
        <v>100</v>
      </c>
      <c r="C438" s="3">
        <v>45805</v>
      </c>
      <c r="D438" s="2" t="s">
        <v>16</v>
      </c>
      <c r="E438" s="2" t="s">
        <v>47</v>
      </c>
      <c r="F438" s="2" t="s">
        <v>48</v>
      </c>
      <c r="G438" s="2" t="s">
        <v>84</v>
      </c>
      <c r="H438" s="4">
        <v>387.9</v>
      </c>
      <c r="I438" s="2" t="s">
        <v>20</v>
      </c>
      <c r="J438" s="6" t="s">
        <v>15</v>
      </c>
    </row>
    <row r="439" spans="1:10" x14ac:dyDescent="0.3">
      <c r="A439" s="5">
        <v>2025</v>
      </c>
      <c r="B439" s="2" t="s">
        <v>100</v>
      </c>
      <c r="C439" s="3">
        <v>45794</v>
      </c>
      <c r="D439" s="2" t="s">
        <v>16</v>
      </c>
      <c r="E439" s="2" t="s">
        <v>47</v>
      </c>
      <c r="F439" s="2" t="s">
        <v>50</v>
      </c>
      <c r="G439" s="2" t="s">
        <v>51</v>
      </c>
      <c r="H439" s="4">
        <v>322.2</v>
      </c>
      <c r="I439" s="2" t="s">
        <v>28</v>
      </c>
      <c r="J439" s="6" t="s">
        <v>15</v>
      </c>
    </row>
    <row r="440" spans="1:10" x14ac:dyDescent="0.3">
      <c r="A440" s="5">
        <v>2025</v>
      </c>
      <c r="B440" s="2" t="s">
        <v>100</v>
      </c>
      <c r="C440" s="3">
        <v>45789</v>
      </c>
      <c r="D440" s="2" t="s">
        <v>16</v>
      </c>
      <c r="E440" s="2" t="s">
        <v>52</v>
      </c>
      <c r="F440" s="2" t="s">
        <v>53</v>
      </c>
      <c r="G440" s="2" t="s">
        <v>54</v>
      </c>
      <c r="H440" s="4">
        <v>18.899999999999999</v>
      </c>
      <c r="I440" s="2" t="s">
        <v>14</v>
      </c>
      <c r="J440" s="6" t="s">
        <v>15</v>
      </c>
    </row>
    <row r="441" spans="1:10" x14ac:dyDescent="0.3">
      <c r="A441" s="5">
        <v>2025</v>
      </c>
      <c r="B441" s="2" t="s">
        <v>100</v>
      </c>
      <c r="C441" s="3">
        <v>45782</v>
      </c>
      <c r="D441" s="2" t="s">
        <v>16</v>
      </c>
      <c r="E441" s="2" t="s">
        <v>52</v>
      </c>
      <c r="F441" s="2" t="s">
        <v>55</v>
      </c>
      <c r="G441" s="2" t="s">
        <v>56</v>
      </c>
      <c r="H441" s="4">
        <v>117.9</v>
      </c>
      <c r="I441" s="2" t="s">
        <v>28</v>
      </c>
      <c r="J441" s="6" t="s">
        <v>15</v>
      </c>
    </row>
    <row r="442" spans="1:10" x14ac:dyDescent="0.3">
      <c r="A442" s="5">
        <v>2025</v>
      </c>
      <c r="B442" s="2" t="s">
        <v>100</v>
      </c>
      <c r="C442" s="3">
        <v>45792</v>
      </c>
      <c r="D442" s="2" t="s">
        <v>16</v>
      </c>
      <c r="E442" s="2" t="s">
        <v>52</v>
      </c>
      <c r="F442" s="2" t="s">
        <v>57</v>
      </c>
      <c r="G442" s="2" t="s">
        <v>58</v>
      </c>
      <c r="H442" s="4">
        <v>202.5</v>
      </c>
      <c r="I442" s="2" t="s">
        <v>28</v>
      </c>
      <c r="J442" s="6" t="s">
        <v>15</v>
      </c>
    </row>
    <row r="443" spans="1:10" x14ac:dyDescent="0.3">
      <c r="A443" s="5">
        <v>2025</v>
      </c>
      <c r="B443" s="2" t="s">
        <v>100</v>
      </c>
      <c r="C443" s="3">
        <v>45800</v>
      </c>
      <c r="D443" s="2" t="s">
        <v>16</v>
      </c>
      <c r="E443" s="2" t="s">
        <v>52</v>
      </c>
      <c r="F443" s="2" t="s">
        <v>59</v>
      </c>
      <c r="G443" s="2" t="s">
        <v>95</v>
      </c>
      <c r="H443" s="4">
        <v>487.8</v>
      </c>
      <c r="I443" s="2" t="s">
        <v>14</v>
      </c>
      <c r="J443" s="6" t="s">
        <v>15</v>
      </c>
    </row>
    <row r="444" spans="1:10" x14ac:dyDescent="0.3">
      <c r="A444" s="5">
        <v>2025</v>
      </c>
      <c r="B444" s="2" t="s">
        <v>100</v>
      </c>
      <c r="C444" s="3">
        <v>45780</v>
      </c>
      <c r="D444" s="2" t="s">
        <v>16</v>
      </c>
      <c r="E444" s="2" t="s">
        <v>61</v>
      </c>
      <c r="F444" s="2" t="s">
        <v>62</v>
      </c>
      <c r="G444" s="2" t="s">
        <v>63</v>
      </c>
      <c r="H444" s="4">
        <v>550.79999999999995</v>
      </c>
      <c r="I444" s="2" t="s">
        <v>20</v>
      </c>
      <c r="J444" s="6" t="s">
        <v>15</v>
      </c>
    </row>
    <row r="445" spans="1:10" x14ac:dyDescent="0.3">
      <c r="A445" s="5">
        <v>2025</v>
      </c>
      <c r="B445" s="2" t="s">
        <v>100</v>
      </c>
      <c r="C445" s="3">
        <v>45789</v>
      </c>
      <c r="D445" s="2" t="s">
        <v>16</v>
      </c>
      <c r="E445" s="2" t="s">
        <v>61</v>
      </c>
      <c r="F445" s="2" t="s">
        <v>64</v>
      </c>
      <c r="G445" s="2" t="s">
        <v>63</v>
      </c>
      <c r="H445" s="4">
        <v>634.5</v>
      </c>
      <c r="I445" s="2" t="s">
        <v>28</v>
      </c>
      <c r="J445" s="6" t="s">
        <v>15</v>
      </c>
    </row>
    <row r="446" spans="1:10" x14ac:dyDescent="0.3">
      <c r="A446" s="5">
        <v>2025</v>
      </c>
      <c r="B446" s="2" t="s">
        <v>100</v>
      </c>
      <c r="C446" s="3">
        <v>45782</v>
      </c>
      <c r="D446" s="2" t="s">
        <v>16</v>
      </c>
      <c r="E446" s="2" t="s">
        <v>65</v>
      </c>
      <c r="F446" s="2" t="s">
        <v>66</v>
      </c>
      <c r="G446" s="2" t="s">
        <v>67</v>
      </c>
      <c r="H446" s="4">
        <v>1888.2</v>
      </c>
      <c r="I446" s="2" t="s">
        <v>14</v>
      </c>
      <c r="J446" s="6" t="s">
        <v>15</v>
      </c>
    </row>
    <row r="447" spans="1:10" x14ac:dyDescent="0.3">
      <c r="A447" s="5">
        <v>2025</v>
      </c>
      <c r="B447" s="2" t="s">
        <v>100</v>
      </c>
      <c r="C447" s="3">
        <v>45780</v>
      </c>
      <c r="D447" s="2" t="s">
        <v>68</v>
      </c>
      <c r="E447" s="2" t="s">
        <v>69</v>
      </c>
      <c r="F447" s="2" t="s">
        <v>70</v>
      </c>
      <c r="G447" s="2" t="s">
        <v>71</v>
      </c>
      <c r="H447" s="4">
        <v>2137</v>
      </c>
      <c r="I447" s="2" t="s">
        <v>72</v>
      </c>
      <c r="J447" s="6" t="s">
        <v>15</v>
      </c>
    </row>
    <row r="448" spans="1:10" x14ac:dyDescent="0.3">
      <c r="A448" s="5">
        <v>2025</v>
      </c>
      <c r="B448" s="2" t="s">
        <v>100</v>
      </c>
      <c r="C448" s="3">
        <v>45793</v>
      </c>
      <c r="D448" s="2" t="s">
        <v>68</v>
      </c>
      <c r="E448" s="2" t="s">
        <v>69</v>
      </c>
      <c r="F448" s="2" t="s">
        <v>73</v>
      </c>
      <c r="G448" s="2" t="s">
        <v>71</v>
      </c>
      <c r="H448" s="4">
        <v>1405</v>
      </c>
      <c r="I448" s="2" t="s">
        <v>72</v>
      </c>
      <c r="J448" s="6" t="s">
        <v>15</v>
      </c>
    </row>
    <row r="449" spans="1:10" x14ac:dyDescent="0.3">
      <c r="A449" s="5">
        <v>2025</v>
      </c>
      <c r="B449" s="2" t="s">
        <v>100</v>
      </c>
      <c r="C449" s="3">
        <v>45786</v>
      </c>
      <c r="D449" s="2" t="s">
        <v>68</v>
      </c>
      <c r="E449" s="2" t="s">
        <v>69</v>
      </c>
      <c r="F449" s="2" t="s">
        <v>74</v>
      </c>
      <c r="G449" s="2" t="s">
        <v>75</v>
      </c>
      <c r="H449" s="4">
        <v>810</v>
      </c>
      <c r="I449" s="2" t="s">
        <v>72</v>
      </c>
      <c r="J449" s="6" t="s">
        <v>15</v>
      </c>
    </row>
    <row r="450" spans="1:10" x14ac:dyDescent="0.3">
      <c r="A450" s="5">
        <v>2025</v>
      </c>
      <c r="B450" s="2" t="s">
        <v>100</v>
      </c>
      <c r="C450" s="3">
        <v>45799</v>
      </c>
      <c r="D450" s="2" t="s">
        <v>68</v>
      </c>
      <c r="E450" s="2" t="s">
        <v>69</v>
      </c>
      <c r="F450" s="2" t="s">
        <v>76</v>
      </c>
      <c r="G450" s="2" t="s">
        <v>77</v>
      </c>
      <c r="H450" s="4">
        <v>473</v>
      </c>
      <c r="I450" s="2" t="s">
        <v>72</v>
      </c>
      <c r="J450" s="6" t="s">
        <v>15</v>
      </c>
    </row>
    <row r="451" spans="1:10" x14ac:dyDescent="0.3">
      <c r="A451" s="5">
        <v>2026</v>
      </c>
      <c r="B451" s="2" t="s">
        <v>10</v>
      </c>
      <c r="C451" s="3">
        <v>46174</v>
      </c>
      <c r="D451" s="2" t="s">
        <v>11</v>
      </c>
      <c r="E451" s="2" t="s">
        <v>12</v>
      </c>
      <c r="F451" s="2" t="s">
        <v>12</v>
      </c>
      <c r="G451" s="2" t="s">
        <v>13</v>
      </c>
      <c r="H451" s="4">
        <v>74934</v>
      </c>
      <c r="I451" s="2" t="s">
        <v>14</v>
      </c>
      <c r="J451" s="6" t="s">
        <v>15</v>
      </c>
    </row>
    <row r="452" spans="1:10" x14ac:dyDescent="0.3">
      <c r="A452" s="5">
        <v>2026</v>
      </c>
      <c r="B452" s="2" t="s">
        <v>10</v>
      </c>
      <c r="C452" s="3">
        <v>46177</v>
      </c>
      <c r="D452" s="2" t="s">
        <v>16</v>
      </c>
      <c r="E452" s="2" t="s">
        <v>17</v>
      </c>
      <c r="F452" s="2" t="s">
        <v>18</v>
      </c>
      <c r="G452" s="2" t="s">
        <v>19</v>
      </c>
      <c r="H452" s="4">
        <v>18556.2</v>
      </c>
      <c r="I452" s="2" t="s">
        <v>20</v>
      </c>
      <c r="J452" s="6" t="s">
        <v>15</v>
      </c>
    </row>
    <row r="453" spans="1:10" x14ac:dyDescent="0.3">
      <c r="A453" s="5">
        <v>2026</v>
      </c>
      <c r="B453" s="2" t="s">
        <v>10</v>
      </c>
      <c r="C453" s="3">
        <v>46191</v>
      </c>
      <c r="D453" s="2" t="s">
        <v>16</v>
      </c>
      <c r="E453" s="2" t="s">
        <v>17</v>
      </c>
      <c r="F453" s="2" t="s">
        <v>21</v>
      </c>
      <c r="G453" s="2" t="s">
        <v>22</v>
      </c>
      <c r="H453" s="4">
        <v>1344.6</v>
      </c>
      <c r="I453" s="2" t="s">
        <v>14</v>
      </c>
      <c r="J453" s="6" t="s">
        <v>15</v>
      </c>
    </row>
    <row r="454" spans="1:10" x14ac:dyDescent="0.3">
      <c r="A454" s="5">
        <v>2026</v>
      </c>
      <c r="B454" s="2" t="s">
        <v>10</v>
      </c>
      <c r="C454" s="3">
        <v>46181</v>
      </c>
      <c r="D454" s="2" t="s">
        <v>16</v>
      </c>
      <c r="E454" s="2" t="s">
        <v>23</v>
      </c>
      <c r="F454" s="2" t="s">
        <v>24</v>
      </c>
      <c r="G454" s="2" t="s">
        <v>25</v>
      </c>
      <c r="H454" s="4">
        <v>4707</v>
      </c>
      <c r="I454" s="2" t="s">
        <v>14</v>
      </c>
      <c r="J454" s="6" t="s">
        <v>15</v>
      </c>
    </row>
    <row r="455" spans="1:10" x14ac:dyDescent="0.3">
      <c r="A455" s="5">
        <v>2026</v>
      </c>
      <c r="B455" s="2" t="s">
        <v>10</v>
      </c>
      <c r="C455" s="3">
        <v>46197</v>
      </c>
      <c r="D455" s="2" t="s">
        <v>16</v>
      </c>
      <c r="E455" s="2" t="s">
        <v>23</v>
      </c>
      <c r="F455" s="2" t="s">
        <v>26</v>
      </c>
      <c r="G455" s="2" t="s">
        <v>27</v>
      </c>
      <c r="H455" s="4">
        <v>2205</v>
      </c>
      <c r="I455" s="2" t="s">
        <v>28</v>
      </c>
      <c r="J455" s="6" t="s">
        <v>15</v>
      </c>
    </row>
    <row r="456" spans="1:10" x14ac:dyDescent="0.3">
      <c r="A456" s="5">
        <v>2026</v>
      </c>
      <c r="B456" s="2" t="s">
        <v>10</v>
      </c>
      <c r="C456" s="3">
        <v>46182</v>
      </c>
      <c r="D456" s="2" t="s">
        <v>16</v>
      </c>
      <c r="E456" s="2" t="s">
        <v>23</v>
      </c>
      <c r="F456" s="2" t="s">
        <v>29</v>
      </c>
      <c r="G456" s="2" t="s">
        <v>30</v>
      </c>
      <c r="H456" s="4">
        <v>1127.7</v>
      </c>
      <c r="I456" s="2" t="s">
        <v>14</v>
      </c>
      <c r="J456" s="6" t="s">
        <v>15</v>
      </c>
    </row>
    <row r="457" spans="1:10" x14ac:dyDescent="0.3">
      <c r="A457" s="5">
        <v>2026</v>
      </c>
      <c r="B457" s="2" t="s">
        <v>10</v>
      </c>
      <c r="C457" s="3">
        <v>46183</v>
      </c>
      <c r="D457" s="2" t="s">
        <v>16</v>
      </c>
      <c r="E457" s="2" t="s">
        <v>31</v>
      </c>
      <c r="F457" s="2" t="s">
        <v>32</v>
      </c>
      <c r="G457" s="2" t="s">
        <v>33</v>
      </c>
      <c r="H457" s="4">
        <v>1960.2</v>
      </c>
      <c r="I457" s="2" t="s">
        <v>20</v>
      </c>
      <c r="J457" s="6" t="s">
        <v>15</v>
      </c>
    </row>
    <row r="458" spans="1:10" x14ac:dyDescent="0.3">
      <c r="A458" s="5">
        <v>2026</v>
      </c>
      <c r="B458" s="2" t="s">
        <v>10</v>
      </c>
      <c r="C458" s="3">
        <v>46197</v>
      </c>
      <c r="D458" s="2" t="s">
        <v>16</v>
      </c>
      <c r="E458" s="2" t="s">
        <v>31</v>
      </c>
      <c r="F458" s="2" t="s">
        <v>34</v>
      </c>
      <c r="G458" s="2" t="s">
        <v>35</v>
      </c>
      <c r="H458" s="4">
        <v>691.2</v>
      </c>
      <c r="I458" s="2" t="s">
        <v>28</v>
      </c>
      <c r="J458" s="6" t="s">
        <v>15</v>
      </c>
    </row>
    <row r="459" spans="1:10" x14ac:dyDescent="0.3">
      <c r="A459" s="5">
        <v>2026</v>
      </c>
      <c r="B459" s="2" t="s">
        <v>10</v>
      </c>
      <c r="C459" s="3">
        <v>46183</v>
      </c>
      <c r="D459" s="2" t="s">
        <v>16</v>
      </c>
      <c r="E459" s="2" t="s">
        <v>31</v>
      </c>
      <c r="F459" s="2" t="s">
        <v>36</v>
      </c>
      <c r="G459" s="2" t="s">
        <v>37</v>
      </c>
      <c r="H459" s="4">
        <v>714.6</v>
      </c>
      <c r="I459" s="2" t="s">
        <v>20</v>
      </c>
      <c r="J459" s="6" t="s">
        <v>15</v>
      </c>
    </row>
    <row r="460" spans="1:10" x14ac:dyDescent="0.3">
      <c r="A460" s="5">
        <v>2026</v>
      </c>
      <c r="B460" s="2" t="s">
        <v>10</v>
      </c>
      <c r="C460" s="3">
        <v>46199</v>
      </c>
      <c r="D460" s="2" t="s">
        <v>16</v>
      </c>
      <c r="E460" s="2" t="s">
        <v>38</v>
      </c>
      <c r="F460" s="2" t="s">
        <v>39</v>
      </c>
      <c r="G460" s="2" t="s">
        <v>40</v>
      </c>
      <c r="H460" s="4">
        <v>1332</v>
      </c>
      <c r="I460" s="2" t="s">
        <v>20</v>
      </c>
      <c r="J460" s="6" t="s">
        <v>15</v>
      </c>
    </row>
    <row r="461" spans="1:10" x14ac:dyDescent="0.3">
      <c r="A461" s="5">
        <v>2026</v>
      </c>
      <c r="B461" s="2" t="s">
        <v>10</v>
      </c>
      <c r="C461" s="3">
        <v>46177</v>
      </c>
      <c r="D461" s="2" t="s">
        <v>16</v>
      </c>
      <c r="E461" s="2" t="s">
        <v>38</v>
      </c>
      <c r="F461" s="2" t="s">
        <v>41</v>
      </c>
      <c r="G461" s="2" t="s">
        <v>42</v>
      </c>
      <c r="H461" s="4">
        <v>662.4</v>
      </c>
      <c r="I461" s="2" t="s">
        <v>20</v>
      </c>
      <c r="J461" s="6" t="s">
        <v>15</v>
      </c>
    </row>
    <row r="462" spans="1:10" x14ac:dyDescent="0.3">
      <c r="A462" s="5">
        <v>2026</v>
      </c>
      <c r="B462" s="2" t="s">
        <v>10</v>
      </c>
      <c r="C462" s="3">
        <v>46186</v>
      </c>
      <c r="D462" s="2" t="s">
        <v>16</v>
      </c>
      <c r="E462" s="2" t="s">
        <v>38</v>
      </c>
      <c r="F462" s="2" t="s">
        <v>43</v>
      </c>
      <c r="G462" s="2" t="s">
        <v>44</v>
      </c>
      <c r="H462" s="4">
        <v>463.5</v>
      </c>
      <c r="I462" s="2" t="s">
        <v>14</v>
      </c>
      <c r="J462" s="6" t="s">
        <v>15</v>
      </c>
    </row>
    <row r="463" spans="1:10" x14ac:dyDescent="0.3">
      <c r="A463" s="5">
        <v>2026</v>
      </c>
      <c r="B463" s="2" t="s">
        <v>10</v>
      </c>
      <c r="C463" s="3">
        <v>46183</v>
      </c>
      <c r="D463" s="2" t="s">
        <v>16</v>
      </c>
      <c r="E463" s="2" t="s">
        <v>38</v>
      </c>
      <c r="F463" s="2" t="s">
        <v>45</v>
      </c>
      <c r="G463" s="2" t="s">
        <v>46</v>
      </c>
      <c r="H463" s="4">
        <v>693.9</v>
      </c>
      <c r="I463" s="2" t="s">
        <v>14</v>
      </c>
      <c r="J463" s="6" t="s">
        <v>15</v>
      </c>
    </row>
    <row r="464" spans="1:10" x14ac:dyDescent="0.3">
      <c r="A464" s="5">
        <v>2026</v>
      </c>
      <c r="B464" s="2" t="s">
        <v>10</v>
      </c>
      <c r="C464" s="3">
        <v>46189</v>
      </c>
      <c r="D464" s="2" t="s">
        <v>16</v>
      </c>
      <c r="E464" s="2" t="s">
        <v>47</v>
      </c>
      <c r="F464" s="2" t="s">
        <v>48</v>
      </c>
      <c r="G464" s="2" t="s">
        <v>49</v>
      </c>
      <c r="H464" s="4">
        <v>2474.1</v>
      </c>
      <c r="I464" s="2" t="s">
        <v>28</v>
      </c>
      <c r="J464" s="6" t="s">
        <v>15</v>
      </c>
    </row>
    <row r="465" spans="1:10" x14ac:dyDescent="0.3">
      <c r="A465" s="5">
        <v>2026</v>
      </c>
      <c r="B465" s="2" t="s">
        <v>10</v>
      </c>
      <c r="C465" s="3">
        <v>46177</v>
      </c>
      <c r="D465" s="2" t="s">
        <v>16</v>
      </c>
      <c r="E465" s="2" t="s">
        <v>47</v>
      </c>
      <c r="F465" s="2" t="s">
        <v>50</v>
      </c>
      <c r="G465" s="2" t="s">
        <v>51</v>
      </c>
      <c r="H465" s="4">
        <v>913.5</v>
      </c>
      <c r="I465" s="2" t="s">
        <v>14</v>
      </c>
      <c r="J465" s="6" t="s">
        <v>15</v>
      </c>
    </row>
    <row r="466" spans="1:10" x14ac:dyDescent="0.3">
      <c r="A466" s="5">
        <v>2026</v>
      </c>
      <c r="B466" s="2" t="s">
        <v>10</v>
      </c>
      <c r="C466" s="3">
        <v>46194</v>
      </c>
      <c r="D466" s="2" t="s">
        <v>16</v>
      </c>
      <c r="E466" s="2" t="s">
        <v>52</v>
      </c>
      <c r="F466" s="2" t="s">
        <v>53</v>
      </c>
      <c r="G466" s="2" t="s">
        <v>54</v>
      </c>
      <c r="H466" s="4">
        <v>731.7</v>
      </c>
      <c r="I466" s="2" t="s">
        <v>14</v>
      </c>
      <c r="J466" s="6" t="s">
        <v>15</v>
      </c>
    </row>
    <row r="467" spans="1:10" x14ac:dyDescent="0.3">
      <c r="A467" s="5">
        <v>2026</v>
      </c>
      <c r="B467" s="2" t="s">
        <v>10</v>
      </c>
      <c r="C467" s="3">
        <v>46181</v>
      </c>
      <c r="D467" s="2" t="s">
        <v>16</v>
      </c>
      <c r="E467" s="2" t="s">
        <v>52</v>
      </c>
      <c r="F467" s="2" t="s">
        <v>55</v>
      </c>
      <c r="G467" s="2" t="s">
        <v>56</v>
      </c>
      <c r="H467" s="4">
        <v>408.6</v>
      </c>
      <c r="I467" s="2" t="s">
        <v>20</v>
      </c>
      <c r="J467" s="6" t="s">
        <v>15</v>
      </c>
    </row>
    <row r="468" spans="1:10" x14ac:dyDescent="0.3">
      <c r="A468" s="5">
        <v>2026</v>
      </c>
      <c r="B468" s="2" t="s">
        <v>10</v>
      </c>
      <c r="C468" s="3">
        <v>46196</v>
      </c>
      <c r="D468" s="2" t="s">
        <v>16</v>
      </c>
      <c r="E468" s="2" t="s">
        <v>52</v>
      </c>
      <c r="F468" s="2" t="s">
        <v>57</v>
      </c>
      <c r="G468" s="2" t="s">
        <v>58</v>
      </c>
      <c r="H468" s="4">
        <v>220.5</v>
      </c>
      <c r="I468" s="2" t="s">
        <v>28</v>
      </c>
      <c r="J468" s="6" t="s">
        <v>15</v>
      </c>
    </row>
    <row r="469" spans="1:10" x14ac:dyDescent="0.3">
      <c r="A469" s="5">
        <v>2026</v>
      </c>
      <c r="B469" s="2" t="s">
        <v>10</v>
      </c>
      <c r="C469" s="3">
        <v>46177</v>
      </c>
      <c r="D469" s="2" t="s">
        <v>16</v>
      </c>
      <c r="E469" s="2" t="s">
        <v>52</v>
      </c>
      <c r="F469" s="2" t="s">
        <v>59</v>
      </c>
      <c r="G469" s="2" t="s">
        <v>60</v>
      </c>
      <c r="H469" s="4">
        <v>81</v>
      </c>
      <c r="I469" s="2" t="s">
        <v>20</v>
      </c>
      <c r="J469" s="6" t="s">
        <v>15</v>
      </c>
    </row>
    <row r="470" spans="1:10" x14ac:dyDescent="0.3">
      <c r="A470" s="5">
        <v>2026</v>
      </c>
      <c r="B470" s="2" t="s">
        <v>10</v>
      </c>
      <c r="C470" s="3">
        <v>46187</v>
      </c>
      <c r="D470" s="2" t="s">
        <v>16</v>
      </c>
      <c r="E470" s="2" t="s">
        <v>61</v>
      </c>
      <c r="F470" s="2" t="s">
        <v>62</v>
      </c>
      <c r="G470" s="2" t="s">
        <v>63</v>
      </c>
      <c r="H470" s="4">
        <v>1656.9</v>
      </c>
      <c r="I470" s="2" t="s">
        <v>28</v>
      </c>
      <c r="J470" s="6" t="s">
        <v>15</v>
      </c>
    </row>
    <row r="471" spans="1:10" x14ac:dyDescent="0.3">
      <c r="A471" s="5">
        <v>2026</v>
      </c>
      <c r="B471" s="2" t="s">
        <v>10</v>
      </c>
      <c r="C471" s="3">
        <v>46195</v>
      </c>
      <c r="D471" s="2" t="s">
        <v>16</v>
      </c>
      <c r="E471" s="2" t="s">
        <v>61</v>
      </c>
      <c r="F471" s="2" t="s">
        <v>64</v>
      </c>
      <c r="G471" s="2" t="s">
        <v>63</v>
      </c>
      <c r="H471" s="4">
        <v>1988.1</v>
      </c>
      <c r="I471" s="2" t="s">
        <v>20</v>
      </c>
      <c r="J471" s="6" t="s">
        <v>15</v>
      </c>
    </row>
    <row r="472" spans="1:10" x14ac:dyDescent="0.3">
      <c r="A472" s="5">
        <v>2026</v>
      </c>
      <c r="B472" s="2" t="s">
        <v>10</v>
      </c>
      <c r="C472" s="3">
        <v>46186</v>
      </c>
      <c r="D472" s="2" t="s">
        <v>16</v>
      </c>
      <c r="E472" s="2" t="s">
        <v>65</v>
      </c>
      <c r="F472" s="2" t="s">
        <v>66</v>
      </c>
      <c r="G472" s="2" t="s">
        <v>67</v>
      </c>
      <c r="H472" s="4">
        <v>5633.1</v>
      </c>
      <c r="I472" s="2" t="s">
        <v>20</v>
      </c>
      <c r="J472" s="6" t="s">
        <v>15</v>
      </c>
    </row>
    <row r="473" spans="1:10" x14ac:dyDescent="0.3">
      <c r="A473" s="5">
        <v>2026</v>
      </c>
      <c r="B473" s="2" t="s">
        <v>10</v>
      </c>
      <c r="C473" s="3">
        <v>46197</v>
      </c>
      <c r="D473" s="2" t="s">
        <v>68</v>
      </c>
      <c r="E473" s="2" t="s">
        <v>69</v>
      </c>
      <c r="F473" s="2" t="s">
        <v>70</v>
      </c>
      <c r="G473" s="2" t="s">
        <v>71</v>
      </c>
      <c r="H473" s="4">
        <v>6448</v>
      </c>
      <c r="I473" s="2" t="s">
        <v>72</v>
      </c>
      <c r="J473" s="6" t="s">
        <v>15</v>
      </c>
    </row>
    <row r="474" spans="1:10" x14ac:dyDescent="0.3">
      <c r="A474" s="5">
        <v>2026</v>
      </c>
      <c r="B474" s="2" t="s">
        <v>10</v>
      </c>
      <c r="C474" s="3">
        <v>46198</v>
      </c>
      <c r="D474" s="2" t="s">
        <v>68</v>
      </c>
      <c r="E474" s="2" t="s">
        <v>69</v>
      </c>
      <c r="F474" s="2" t="s">
        <v>73</v>
      </c>
      <c r="G474" s="2" t="s">
        <v>71</v>
      </c>
      <c r="H474" s="4">
        <v>4030</v>
      </c>
      <c r="I474" s="2" t="s">
        <v>72</v>
      </c>
      <c r="J474" s="6" t="s">
        <v>15</v>
      </c>
    </row>
    <row r="475" spans="1:10" x14ac:dyDescent="0.3">
      <c r="A475" s="5">
        <v>2026</v>
      </c>
      <c r="B475" s="2" t="s">
        <v>10</v>
      </c>
      <c r="C475" s="3">
        <v>46195</v>
      </c>
      <c r="D475" s="2" t="s">
        <v>68</v>
      </c>
      <c r="E475" s="2" t="s">
        <v>69</v>
      </c>
      <c r="F475" s="2" t="s">
        <v>74</v>
      </c>
      <c r="G475" s="2" t="s">
        <v>75</v>
      </c>
      <c r="H475" s="4">
        <v>2418</v>
      </c>
      <c r="I475" s="2" t="s">
        <v>72</v>
      </c>
      <c r="J475" s="6" t="s">
        <v>15</v>
      </c>
    </row>
    <row r="476" spans="1:10" x14ac:dyDescent="0.3">
      <c r="A476" s="5">
        <v>2026</v>
      </c>
      <c r="B476" s="2" t="s">
        <v>10</v>
      </c>
      <c r="C476" s="3">
        <v>46193</v>
      </c>
      <c r="D476" s="2" t="s">
        <v>68</v>
      </c>
      <c r="E476" s="2" t="s">
        <v>69</v>
      </c>
      <c r="F476" s="2" t="s">
        <v>76</v>
      </c>
      <c r="G476" s="2" t="s">
        <v>77</v>
      </c>
      <c r="H476" s="4">
        <v>1344</v>
      </c>
      <c r="I476" s="2" t="s">
        <v>72</v>
      </c>
      <c r="J476" s="6" t="s">
        <v>15</v>
      </c>
    </row>
    <row r="477" spans="1:10" x14ac:dyDescent="0.3">
      <c r="A477" s="5">
        <v>2026</v>
      </c>
      <c r="B477" s="2" t="s">
        <v>78</v>
      </c>
      <c r="C477" s="3">
        <v>46204</v>
      </c>
      <c r="D477" s="2" t="s">
        <v>11</v>
      </c>
      <c r="E477" s="2" t="s">
        <v>12</v>
      </c>
      <c r="F477" s="2" t="s">
        <v>12</v>
      </c>
      <c r="G477" s="2" t="s">
        <v>13</v>
      </c>
      <c r="H477" s="4">
        <v>82427</v>
      </c>
      <c r="I477" s="2" t="s">
        <v>14</v>
      </c>
      <c r="J477" s="6" t="s">
        <v>15</v>
      </c>
    </row>
    <row r="478" spans="1:10" x14ac:dyDescent="0.3">
      <c r="A478" s="5">
        <v>2026</v>
      </c>
      <c r="B478" s="2" t="s">
        <v>78</v>
      </c>
      <c r="C478" s="3">
        <v>46213</v>
      </c>
      <c r="D478" s="2" t="s">
        <v>16</v>
      </c>
      <c r="E478" s="2" t="s">
        <v>17</v>
      </c>
      <c r="F478" s="2" t="s">
        <v>18</v>
      </c>
      <c r="G478" s="2" t="s">
        <v>19</v>
      </c>
      <c r="H478" s="4">
        <v>19178.099999999999</v>
      </c>
      <c r="I478" s="2" t="s">
        <v>20</v>
      </c>
      <c r="J478" s="6" t="s">
        <v>15</v>
      </c>
    </row>
    <row r="479" spans="1:10" x14ac:dyDescent="0.3">
      <c r="A479" s="5">
        <v>2026</v>
      </c>
      <c r="B479" s="2" t="s">
        <v>78</v>
      </c>
      <c r="C479" s="3">
        <v>46223</v>
      </c>
      <c r="D479" s="2" t="s">
        <v>16</v>
      </c>
      <c r="E479" s="2" t="s">
        <v>17</v>
      </c>
      <c r="F479" s="2" t="s">
        <v>21</v>
      </c>
      <c r="G479" s="2" t="s">
        <v>22</v>
      </c>
      <c r="H479" s="4">
        <v>1881</v>
      </c>
      <c r="I479" s="2" t="s">
        <v>20</v>
      </c>
      <c r="J479" s="6" t="s">
        <v>15</v>
      </c>
    </row>
    <row r="480" spans="1:10" x14ac:dyDescent="0.3">
      <c r="A480" s="5">
        <v>2026</v>
      </c>
      <c r="B480" s="2" t="s">
        <v>78</v>
      </c>
      <c r="C480" s="3">
        <v>46225</v>
      </c>
      <c r="D480" s="2" t="s">
        <v>16</v>
      </c>
      <c r="E480" s="2" t="s">
        <v>23</v>
      </c>
      <c r="F480" s="2" t="s">
        <v>24</v>
      </c>
      <c r="G480" s="2" t="s">
        <v>79</v>
      </c>
      <c r="H480" s="4">
        <v>5859</v>
      </c>
      <c r="I480" s="2" t="s">
        <v>28</v>
      </c>
      <c r="J480" s="6" t="s">
        <v>15</v>
      </c>
    </row>
    <row r="481" spans="1:10" x14ac:dyDescent="0.3">
      <c r="A481" s="5">
        <v>2026</v>
      </c>
      <c r="B481" s="2" t="s">
        <v>78</v>
      </c>
      <c r="C481" s="3">
        <v>46225</v>
      </c>
      <c r="D481" s="2" t="s">
        <v>16</v>
      </c>
      <c r="E481" s="2" t="s">
        <v>23</v>
      </c>
      <c r="F481" s="2" t="s">
        <v>26</v>
      </c>
      <c r="G481" s="2" t="s">
        <v>30</v>
      </c>
      <c r="H481" s="4">
        <v>2264.4</v>
      </c>
      <c r="I481" s="2" t="s">
        <v>20</v>
      </c>
      <c r="J481" s="6" t="s">
        <v>15</v>
      </c>
    </row>
    <row r="482" spans="1:10" x14ac:dyDescent="0.3">
      <c r="A482" s="5">
        <v>2026</v>
      </c>
      <c r="B482" s="2" t="s">
        <v>78</v>
      </c>
      <c r="C482" s="3">
        <v>46213</v>
      </c>
      <c r="D482" s="2" t="s">
        <v>16</v>
      </c>
      <c r="E482" s="2" t="s">
        <v>23</v>
      </c>
      <c r="F482" s="2" t="s">
        <v>29</v>
      </c>
      <c r="G482" s="2" t="s">
        <v>80</v>
      </c>
      <c r="H482" s="4">
        <v>1719.9</v>
      </c>
      <c r="I482" s="2" t="s">
        <v>20</v>
      </c>
      <c r="J482" s="6" t="s">
        <v>15</v>
      </c>
    </row>
    <row r="483" spans="1:10" x14ac:dyDescent="0.3">
      <c r="A483" s="5">
        <v>2026</v>
      </c>
      <c r="B483" s="2" t="s">
        <v>78</v>
      </c>
      <c r="C483" s="3">
        <v>46228</v>
      </c>
      <c r="D483" s="2" t="s">
        <v>16</v>
      </c>
      <c r="E483" s="2" t="s">
        <v>31</v>
      </c>
      <c r="F483" s="2" t="s">
        <v>32</v>
      </c>
      <c r="G483" s="2" t="s">
        <v>81</v>
      </c>
      <c r="H483" s="4">
        <v>2677.5</v>
      </c>
      <c r="I483" s="2" t="s">
        <v>14</v>
      </c>
      <c r="J483" s="6" t="s">
        <v>15</v>
      </c>
    </row>
    <row r="484" spans="1:10" x14ac:dyDescent="0.3">
      <c r="A484" s="5">
        <v>2026</v>
      </c>
      <c r="B484" s="2" t="s">
        <v>78</v>
      </c>
      <c r="C484" s="3">
        <v>46213</v>
      </c>
      <c r="D484" s="2" t="s">
        <v>16</v>
      </c>
      <c r="E484" s="2" t="s">
        <v>31</v>
      </c>
      <c r="F484" s="2" t="s">
        <v>34</v>
      </c>
      <c r="G484" s="2" t="s">
        <v>35</v>
      </c>
      <c r="H484" s="4">
        <v>1007.1</v>
      </c>
      <c r="I484" s="2" t="s">
        <v>14</v>
      </c>
      <c r="J484" s="6" t="s">
        <v>15</v>
      </c>
    </row>
    <row r="485" spans="1:10" x14ac:dyDescent="0.3">
      <c r="A485" s="5">
        <v>2026</v>
      </c>
      <c r="B485" s="2" t="s">
        <v>78</v>
      </c>
      <c r="C485" s="3">
        <v>46217</v>
      </c>
      <c r="D485" s="2" t="s">
        <v>16</v>
      </c>
      <c r="E485" s="2" t="s">
        <v>31</v>
      </c>
      <c r="F485" s="2" t="s">
        <v>36</v>
      </c>
      <c r="G485" s="2" t="s">
        <v>82</v>
      </c>
      <c r="H485" s="4">
        <v>556.20000000000005</v>
      </c>
      <c r="I485" s="2" t="s">
        <v>20</v>
      </c>
      <c r="J485" s="6" t="s">
        <v>15</v>
      </c>
    </row>
    <row r="486" spans="1:10" x14ac:dyDescent="0.3">
      <c r="A486" s="5">
        <v>2026</v>
      </c>
      <c r="B486" s="2" t="s">
        <v>78</v>
      </c>
      <c r="C486" s="3">
        <v>46209</v>
      </c>
      <c r="D486" s="2" t="s">
        <v>16</v>
      </c>
      <c r="E486" s="2" t="s">
        <v>38</v>
      </c>
      <c r="F486" s="2" t="s">
        <v>39</v>
      </c>
      <c r="G486" s="2" t="s">
        <v>40</v>
      </c>
      <c r="H486" s="4">
        <v>1688.4</v>
      </c>
      <c r="I486" s="2" t="s">
        <v>20</v>
      </c>
      <c r="J486" s="6" t="s">
        <v>15</v>
      </c>
    </row>
    <row r="487" spans="1:10" x14ac:dyDescent="0.3">
      <c r="A487" s="5">
        <v>2026</v>
      </c>
      <c r="B487" s="2" t="s">
        <v>78</v>
      </c>
      <c r="C487" s="3">
        <v>46229</v>
      </c>
      <c r="D487" s="2" t="s">
        <v>16</v>
      </c>
      <c r="E487" s="2" t="s">
        <v>38</v>
      </c>
      <c r="F487" s="2" t="s">
        <v>41</v>
      </c>
      <c r="G487" s="2" t="s">
        <v>83</v>
      </c>
      <c r="H487" s="4">
        <v>684.9</v>
      </c>
      <c r="I487" s="2" t="s">
        <v>20</v>
      </c>
      <c r="J487" s="6" t="s">
        <v>15</v>
      </c>
    </row>
    <row r="488" spans="1:10" x14ac:dyDescent="0.3">
      <c r="A488" s="5">
        <v>2026</v>
      </c>
      <c r="B488" s="2" t="s">
        <v>78</v>
      </c>
      <c r="C488" s="3">
        <v>46209</v>
      </c>
      <c r="D488" s="2" t="s">
        <v>16</v>
      </c>
      <c r="E488" s="2" t="s">
        <v>38</v>
      </c>
      <c r="F488" s="2" t="s">
        <v>43</v>
      </c>
      <c r="G488" s="2" t="s">
        <v>83</v>
      </c>
      <c r="H488" s="4">
        <v>478.8</v>
      </c>
      <c r="I488" s="2" t="s">
        <v>14</v>
      </c>
      <c r="J488" s="6" t="s">
        <v>15</v>
      </c>
    </row>
    <row r="489" spans="1:10" x14ac:dyDescent="0.3">
      <c r="A489" s="5">
        <v>2026</v>
      </c>
      <c r="B489" s="2" t="s">
        <v>78</v>
      </c>
      <c r="C489" s="3">
        <v>46218</v>
      </c>
      <c r="D489" s="2" t="s">
        <v>16</v>
      </c>
      <c r="E489" s="2" t="s">
        <v>38</v>
      </c>
      <c r="F489" s="2" t="s">
        <v>45</v>
      </c>
      <c r="G489" s="2" t="s">
        <v>46</v>
      </c>
      <c r="H489" s="4">
        <v>748.8</v>
      </c>
      <c r="I489" s="2" t="s">
        <v>28</v>
      </c>
      <c r="J489" s="6" t="s">
        <v>15</v>
      </c>
    </row>
    <row r="490" spans="1:10" x14ac:dyDescent="0.3">
      <c r="A490" s="5">
        <v>2026</v>
      </c>
      <c r="B490" s="2" t="s">
        <v>78</v>
      </c>
      <c r="C490" s="3">
        <v>46217</v>
      </c>
      <c r="D490" s="2" t="s">
        <v>16</v>
      </c>
      <c r="E490" s="2" t="s">
        <v>47</v>
      </c>
      <c r="F490" s="2" t="s">
        <v>48</v>
      </c>
      <c r="G490" s="2" t="s">
        <v>84</v>
      </c>
      <c r="H490" s="4">
        <v>1184.4000000000001</v>
      </c>
      <c r="I490" s="2" t="s">
        <v>14</v>
      </c>
      <c r="J490" s="6" t="s">
        <v>15</v>
      </c>
    </row>
    <row r="491" spans="1:10" x14ac:dyDescent="0.3">
      <c r="A491" s="5">
        <v>2026</v>
      </c>
      <c r="B491" s="2" t="s">
        <v>78</v>
      </c>
      <c r="C491" s="3">
        <v>46213</v>
      </c>
      <c r="D491" s="2" t="s">
        <v>16</v>
      </c>
      <c r="E491" s="2" t="s">
        <v>47</v>
      </c>
      <c r="F491" s="2" t="s">
        <v>50</v>
      </c>
      <c r="G491" s="2" t="s">
        <v>85</v>
      </c>
      <c r="H491" s="4">
        <v>1143.9000000000001</v>
      </c>
      <c r="I491" s="2" t="s">
        <v>14</v>
      </c>
      <c r="J491" s="6" t="s">
        <v>15</v>
      </c>
    </row>
    <row r="492" spans="1:10" x14ac:dyDescent="0.3">
      <c r="A492" s="5">
        <v>2026</v>
      </c>
      <c r="B492" s="2" t="s">
        <v>78</v>
      </c>
      <c r="C492" s="3">
        <v>46228</v>
      </c>
      <c r="D492" s="2" t="s">
        <v>16</v>
      </c>
      <c r="E492" s="2" t="s">
        <v>52</v>
      </c>
      <c r="F492" s="2" t="s">
        <v>53</v>
      </c>
      <c r="G492" s="2" t="s">
        <v>86</v>
      </c>
      <c r="H492" s="4">
        <v>918.9</v>
      </c>
      <c r="I492" s="2" t="s">
        <v>14</v>
      </c>
      <c r="J492" s="6" t="s">
        <v>15</v>
      </c>
    </row>
    <row r="493" spans="1:10" x14ac:dyDescent="0.3">
      <c r="A493" s="5">
        <v>2026</v>
      </c>
      <c r="B493" s="2" t="s">
        <v>78</v>
      </c>
      <c r="C493" s="3">
        <v>46222</v>
      </c>
      <c r="D493" s="2" t="s">
        <v>16</v>
      </c>
      <c r="E493" s="2" t="s">
        <v>52</v>
      </c>
      <c r="F493" s="2" t="s">
        <v>55</v>
      </c>
      <c r="G493" s="2" t="s">
        <v>87</v>
      </c>
      <c r="H493" s="4">
        <v>285.3</v>
      </c>
      <c r="I493" s="2" t="s">
        <v>14</v>
      </c>
      <c r="J493" s="6" t="s">
        <v>15</v>
      </c>
    </row>
    <row r="494" spans="1:10" x14ac:dyDescent="0.3">
      <c r="A494" s="5">
        <v>2026</v>
      </c>
      <c r="B494" s="2" t="s">
        <v>78</v>
      </c>
      <c r="C494" s="3">
        <v>46215</v>
      </c>
      <c r="D494" s="2" t="s">
        <v>16</v>
      </c>
      <c r="E494" s="2" t="s">
        <v>52</v>
      </c>
      <c r="F494" s="2" t="s">
        <v>57</v>
      </c>
      <c r="G494" s="2" t="s">
        <v>58</v>
      </c>
      <c r="H494" s="4">
        <v>427.5</v>
      </c>
      <c r="I494" s="2" t="s">
        <v>28</v>
      </c>
      <c r="J494" s="6" t="s">
        <v>15</v>
      </c>
    </row>
    <row r="495" spans="1:10" x14ac:dyDescent="0.3">
      <c r="A495" s="5">
        <v>2026</v>
      </c>
      <c r="B495" s="2" t="s">
        <v>78</v>
      </c>
      <c r="C495" s="3">
        <v>46218</v>
      </c>
      <c r="D495" s="2" t="s">
        <v>16</v>
      </c>
      <c r="E495" s="2" t="s">
        <v>52</v>
      </c>
      <c r="F495" s="2" t="s">
        <v>59</v>
      </c>
      <c r="G495" s="2" t="s">
        <v>60</v>
      </c>
      <c r="H495" s="4">
        <v>1125.9000000000001</v>
      </c>
      <c r="I495" s="2" t="s">
        <v>28</v>
      </c>
      <c r="J495" s="6" t="s">
        <v>15</v>
      </c>
    </row>
    <row r="496" spans="1:10" x14ac:dyDescent="0.3">
      <c r="A496" s="5">
        <v>2026</v>
      </c>
      <c r="B496" s="2" t="s">
        <v>78</v>
      </c>
      <c r="C496" s="3">
        <v>46205</v>
      </c>
      <c r="D496" s="2" t="s">
        <v>16</v>
      </c>
      <c r="E496" s="2" t="s">
        <v>61</v>
      </c>
      <c r="F496" s="2" t="s">
        <v>62</v>
      </c>
      <c r="G496" s="2" t="s">
        <v>63</v>
      </c>
      <c r="H496" s="4">
        <v>1712.7</v>
      </c>
      <c r="I496" s="2" t="s">
        <v>14</v>
      </c>
      <c r="J496" s="6" t="s">
        <v>15</v>
      </c>
    </row>
    <row r="497" spans="1:10" x14ac:dyDescent="0.3">
      <c r="A497" s="5">
        <v>2026</v>
      </c>
      <c r="B497" s="2" t="s">
        <v>78</v>
      </c>
      <c r="C497" s="3">
        <v>46229</v>
      </c>
      <c r="D497" s="2" t="s">
        <v>16</v>
      </c>
      <c r="E497" s="2" t="s">
        <v>61</v>
      </c>
      <c r="F497" s="2" t="s">
        <v>64</v>
      </c>
      <c r="G497" s="2" t="s">
        <v>63</v>
      </c>
      <c r="H497" s="4">
        <v>2055.6</v>
      </c>
      <c r="I497" s="2" t="s">
        <v>14</v>
      </c>
      <c r="J497" s="6" t="s">
        <v>15</v>
      </c>
    </row>
    <row r="498" spans="1:10" x14ac:dyDescent="0.3">
      <c r="A498" s="5">
        <v>2026</v>
      </c>
      <c r="B498" s="2" t="s">
        <v>78</v>
      </c>
      <c r="C498" s="3">
        <v>46208</v>
      </c>
      <c r="D498" s="2" t="s">
        <v>16</v>
      </c>
      <c r="E498" s="2" t="s">
        <v>65</v>
      </c>
      <c r="F498" s="2" t="s">
        <v>66</v>
      </c>
      <c r="G498" s="2" t="s">
        <v>67</v>
      </c>
      <c r="H498" s="4">
        <v>5822.1</v>
      </c>
      <c r="I498" s="2" t="s">
        <v>14</v>
      </c>
      <c r="J498" s="6" t="s">
        <v>15</v>
      </c>
    </row>
    <row r="499" spans="1:10" x14ac:dyDescent="0.3">
      <c r="A499" s="5">
        <v>2026</v>
      </c>
      <c r="B499" s="2" t="s">
        <v>78</v>
      </c>
      <c r="C499" s="3">
        <v>46222</v>
      </c>
      <c r="D499" s="2" t="s">
        <v>68</v>
      </c>
      <c r="E499" s="2" t="s">
        <v>69</v>
      </c>
      <c r="F499" s="2" t="s">
        <v>70</v>
      </c>
      <c r="G499" s="2" t="s">
        <v>71</v>
      </c>
      <c r="H499" s="4">
        <v>7092</v>
      </c>
      <c r="I499" s="2" t="s">
        <v>72</v>
      </c>
      <c r="J499" s="6" t="s">
        <v>15</v>
      </c>
    </row>
    <row r="500" spans="1:10" x14ac:dyDescent="0.3">
      <c r="A500" s="5">
        <v>2026</v>
      </c>
      <c r="B500" s="2" t="s">
        <v>78</v>
      </c>
      <c r="C500" s="3">
        <v>46210</v>
      </c>
      <c r="D500" s="2" t="s">
        <v>68</v>
      </c>
      <c r="E500" s="2" t="s">
        <v>69</v>
      </c>
      <c r="F500" s="2" t="s">
        <v>73</v>
      </c>
      <c r="G500" s="2" t="s">
        <v>71</v>
      </c>
      <c r="H500" s="4">
        <v>4433</v>
      </c>
      <c r="I500" s="2" t="s">
        <v>72</v>
      </c>
      <c r="J500" s="6" t="s">
        <v>15</v>
      </c>
    </row>
    <row r="501" spans="1:10" x14ac:dyDescent="0.3">
      <c r="A501" s="5">
        <v>2026</v>
      </c>
      <c r="B501" s="2" t="s">
        <v>78</v>
      </c>
      <c r="C501" s="3">
        <v>46230</v>
      </c>
      <c r="D501" s="2" t="s">
        <v>68</v>
      </c>
      <c r="E501" s="2" t="s">
        <v>69</v>
      </c>
      <c r="F501" s="2" t="s">
        <v>74</v>
      </c>
      <c r="G501" s="2" t="s">
        <v>75</v>
      </c>
      <c r="H501" s="4">
        <v>2660</v>
      </c>
      <c r="I501" s="2" t="s">
        <v>72</v>
      </c>
      <c r="J501" s="6" t="s">
        <v>15</v>
      </c>
    </row>
    <row r="502" spans="1:10" x14ac:dyDescent="0.3">
      <c r="A502" s="5">
        <v>2026</v>
      </c>
      <c r="B502" s="2" t="s">
        <v>78</v>
      </c>
      <c r="C502" s="3">
        <v>46223</v>
      </c>
      <c r="D502" s="2" t="s">
        <v>68</v>
      </c>
      <c r="E502" s="2" t="s">
        <v>69</v>
      </c>
      <c r="F502" s="2" t="s">
        <v>76</v>
      </c>
      <c r="G502" s="2" t="s">
        <v>77</v>
      </c>
      <c r="H502" s="4">
        <v>1478</v>
      </c>
      <c r="I502" s="2" t="s">
        <v>72</v>
      </c>
      <c r="J502" s="6" t="s">
        <v>15</v>
      </c>
    </row>
    <row r="503" spans="1:10" x14ac:dyDescent="0.3">
      <c r="A503" s="5">
        <v>2026</v>
      </c>
      <c r="B503" s="2" t="s">
        <v>88</v>
      </c>
      <c r="C503" s="3">
        <v>46235</v>
      </c>
      <c r="D503" s="2" t="s">
        <v>11</v>
      </c>
      <c r="E503" s="2" t="s">
        <v>12</v>
      </c>
      <c r="F503" s="2" t="s">
        <v>12</v>
      </c>
      <c r="G503" s="2" t="s">
        <v>13</v>
      </c>
      <c r="H503" s="4">
        <v>98912</v>
      </c>
      <c r="I503" s="2" t="s">
        <v>14</v>
      </c>
      <c r="J503" s="6" t="s">
        <v>15</v>
      </c>
    </row>
    <row r="504" spans="1:10" x14ac:dyDescent="0.3">
      <c r="A504" s="5">
        <v>2026</v>
      </c>
      <c r="B504" s="2" t="s">
        <v>88</v>
      </c>
      <c r="C504" s="3">
        <v>46259</v>
      </c>
      <c r="D504" s="2" t="s">
        <v>16</v>
      </c>
      <c r="E504" s="2" t="s">
        <v>17</v>
      </c>
      <c r="F504" s="2" t="s">
        <v>18</v>
      </c>
      <c r="G504" s="2" t="s">
        <v>19</v>
      </c>
      <c r="H504" s="4">
        <v>24077.7</v>
      </c>
      <c r="I504" s="2" t="s">
        <v>20</v>
      </c>
      <c r="J504" s="6" t="s">
        <v>15</v>
      </c>
    </row>
    <row r="505" spans="1:10" x14ac:dyDescent="0.3">
      <c r="A505" s="5">
        <v>2026</v>
      </c>
      <c r="B505" s="2" t="s">
        <v>88</v>
      </c>
      <c r="C505" s="3">
        <v>46260</v>
      </c>
      <c r="D505" s="2" t="s">
        <v>16</v>
      </c>
      <c r="E505" s="2" t="s">
        <v>17</v>
      </c>
      <c r="F505" s="2" t="s">
        <v>21</v>
      </c>
      <c r="G505" s="2" t="s">
        <v>22</v>
      </c>
      <c r="H505" s="4">
        <v>2118.6</v>
      </c>
      <c r="I505" s="2" t="s">
        <v>20</v>
      </c>
      <c r="J505" s="6" t="s">
        <v>15</v>
      </c>
    </row>
    <row r="506" spans="1:10" x14ac:dyDescent="0.3">
      <c r="A506" s="5">
        <v>2026</v>
      </c>
      <c r="B506" s="2" t="s">
        <v>88</v>
      </c>
      <c r="C506" s="3">
        <v>46257</v>
      </c>
      <c r="D506" s="2" t="s">
        <v>16</v>
      </c>
      <c r="E506" s="2" t="s">
        <v>23</v>
      </c>
      <c r="F506" s="2" t="s">
        <v>24</v>
      </c>
      <c r="G506" s="2" t="s">
        <v>79</v>
      </c>
      <c r="H506" s="4">
        <v>7740.9</v>
      </c>
      <c r="I506" s="2" t="s">
        <v>14</v>
      </c>
      <c r="J506" s="6" t="s">
        <v>15</v>
      </c>
    </row>
    <row r="507" spans="1:10" x14ac:dyDescent="0.3">
      <c r="A507" s="5">
        <v>2026</v>
      </c>
      <c r="B507" s="2" t="s">
        <v>88</v>
      </c>
      <c r="C507" s="3">
        <v>46241</v>
      </c>
      <c r="D507" s="2" t="s">
        <v>16</v>
      </c>
      <c r="E507" s="2" t="s">
        <v>23</v>
      </c>
      <c r="F507" s="2" t="s">
        <v>26</v>
      </c>
      <c r="G507" s="2" t="s">
        <v>30</v>
      </c>
      <c r="H507" s="4">
        <v>1960.2</v>
      </c>
      <c r="I507" s="2" t="s">
        <v>14</v>
      </c>
      <c r="J507" s="6" t="s">
        <v>15</v>
      </c>
    </row>
    <row r="508" spans="1:10" x14ac:dyDescent="0.3">
      <c r="A508" s="5">
        <v>2026</v>
      </c>
      <c r="B508" s="2" t="s">
        <v>88</v>
      </c>
      <c r="C508" s="3">
        <v>46255</v>
      </c>
      <c r="D508" s="2" t="s">
        <v>16</v>
      </c>
      <c r="E508" s="2" t="s">
        <v>23</v>
      </c>
      <c r="F508" s="2" t="s">
        <v>29</v>
      </c>
      <c r="G508" s="2" t="s">
        <v>30</v>
      </c>
      <c r="H508" s="4">
        <v>1229.4000000000001</v>
      </c>
      <c r="I508" s="2" t="s">
        <v>20</v>
      </c>
      <c r="J508" s="6" t="s">
        <v>15</v>
      </c>
    </row>
    <row r="509" spans="1:10" x14ac:dyDescent="0.3">
      <c r="A509" s="5">
        <v>2026</v>
      </c>
      <c r="B509" s="2" t="s">
        <v>88</v>
      </c>
      <c r="C509" s="3">
        <v>46253</v>
      </c>
      <c r="D509" s="2" t="s">
        <v>16</v>
      </c>
      <c r="E509" s="2" t="s">
        <v>31</v>
      </c>
      <c r="F509" s="2" t="s">
        <v>32</v>
      </c>
      <c r="G509" s="2" t="s">
        <v>81</v>
      </c>
      <c r="H509" s="4">
        <v>2789.1</v>
      </c>
      <c r="I509" s="2" t="s">
        <v>14</v>
      </c>
      <c r="J509" s="6" t="s">
        <v>15</v>
      </c>
    </row>
    <row r="510" spans="1:10" x14ac:dyDescent="0.3">
      <c r="A510" s="5">
        <v>2026</v>
      </c>
      <c r="B510" s="2" t="s">
        <v>88</v>
      </c>
      <c r="C510" s="3">
        <v>46242</v>
      </c>
      <c r="D510" s="2" t="s">
        <v>16</v>
      </c>
      <c r="E510" s="2" t="s">
        <v>31</v>
      </c>
      <c r="F510" s="2" t="s">
        <v>34</v>
      </c>
      <c r="G510" s="2" t="s">
        <v>35</v>
      </c>
      <c r="H510" s="4">
        <v>1547.1</v>
      </c>
      <c r="I510" s="2" t="s">
        <v>28</v>
      </c>
      <c r="J510" s="6" t="s">
        <v>15</v>
      </c>
    </row>
    <row r="511" spans="1:10" x14ac:dyDescent="0.3">
      <c r="A511" s="5">
        <v>2026</v>
      </c>
      <c r="B511" s="2" t="s">
        <v>88</v>
      </c>
      <c r="C511" s="3">
        <v>46257</v>
      </c>
      <c r="D511" s="2" t="s">
        <v>16</v>
      </c>
      <c r="E511" s="2" t="s">
        <v>31</v>
      </c>
      <c r="F511" s="2" t="s">
        <v>36</v>
      </c>
      <c r="G511" s="2" t="s">
        <v>82</v>
      </c>
      <c r="H511" s="4">
        <v>967.5</v>
      </c>
      <c r="I511" s="2" t="s">
        <v>28</v>
      </c>
      <c r="J511" s="6" t="s">
        <v>15</v>
      </c>
    </row>
    <row r="512" spans="1:10" x14ac:dyDescent="0.3">
      <c r="A512" s="5">
        <v>2026</v>
      </c>
      <c r="B512" s="2" t="s">
        <v>88</v>
      </c>
      <c r="C512" s="3">
        <v>46252</v>
      </c>
      <c r="D512" s="2" t="s">
        <v>16</v>
      </c>
      <c r="E512" s="2" t="s">
        <v>38</v>
      </c>
      <c r="F512" s="2" t="s">
        <v>39</v>
      </c>
      <c r="G512" s="2" t="s">
        <v>40</v>
      </c>
      <c r="H512" s="4">
        <v>2088.9</v>
      </c>
      <c r="I512" s="2" t="s">
        <v>20</v>
      </c>
      <c r="J512" s="6" t="s">
        <v>15</v>
      </c>
    </row>
    <row r="513" spans="1:10" x14ac:dyDescent="0.3">
      <c r="A513" s="5">
        <v>2026</v>
      </c>
      <c r="B513" s="2" t="s">
        <v>88</v>
      </c>
      <c r="C513" s="3">
        <v>46243</v>
      </c>
      <c r="D513" s="2" t="s">
        <v>16</v>
      </c>
      <c r="E513" s="2" t="s">
        <v>38</v>
      </c>
      <c r="F513" s="2" t="s">
        <v>41</v>
      </c>
      <c r="G513" s="2" t="s">
        <v>83</v>
      </c>
      <c r="H513" s="4">
        <v>859.5</v>
      </c>
      <c r="I513" s="2" t="s">
        <v>20</v>
      </c>
      <c r="J513" s="6" t="s">
        <v>15</v>
      </c>
    </row>
    <row r="514" spans="1:10" x14ac:dyDescent="0.3">
      <c r="A514" s="5">
        <v>2026</v>
      </c>
      <c r="B514" s="2" t="s">
        <v>88</v>
      </c>
      <c r="C514" s="3">
        <v>46246</v>
      </c>
      <c r="D514" s="2" t="s">
        <v>16</v>
      </c>
      <c r="E514" s="2" t="s">
        <v>38</v>
      </c>
      <c r="F514" s="2" t="s">
        <v>43</v>
      </c>
      <c r="G514" s="2" t="s">
        <v>83</v>
      </c>
      <c r="H514" s="4">
        <v>601.20000000000005</v>
      </c>
      <c r="I514" s="2" t="s">
        <v>14</v>
      </c>
      <c r="J514" s="6" t="s">
        <v>15</v>
      </c>
    </row>
    <row r="515" spans="1:10" x14ac:dyDescent="0.3">
      <c r="A515" s="5">
        <v>2026</v>
      </c>
      <c r="B515" s="2" t="s">
        <v>88</v>
      </c>
      <c r="C515" s="3">
        <v>46253</v>
      </c>
      <c r="D515" s="2" t="s">
        <v>16</v>
      </c>
      <c r="E515" s="2" t="s">
        <v>38</v>
      </c>
      <c r="F515" s="2" t="s">
        <v>45</v>
      </c>
      <c r="G515" s="2" t="s">
        <v>46</v>
      </c>
      <c r="H515" s="4">
        <v>707.4</v>
      </c>
      <c r="I515" s="2" t="s">
        <v>14</v>
      </c>
      <c r="J515" s="6" t="s">
        <v>15</v>
      </c>
    </row>
    <row r="516" spans="1:10" x14ac:dyDescent="0.3">
      <c r="A516" s="5">
        <v>2026</v>
      </c>
      <c r="B516" s="2" t="s">
        <v>88</v>
      </c>
      <c r="C516" s="3">
        <v>46243</v>
      </c>
      <c r="D516" s="2" t="s">
        <v>16</v>
      </c>
      <c r="E516" s="2" t="s">
        <v>47</v>
      </c>
      <c r="F516" s="2" t="s">
        <v>48</v>
      </c>
      <c r="G516" s="2" t="s">
        <v>49</v>
      </c>
      <c r="H516" s="4">
        <v>1494</v>
      </c>
      <c r="I516" s="2" t="s">
        <v>20</v>
      </c>
      <c r="J516" s="6" t="s">
        <v>15</v>
      </c>
    </row>
    <row r="517" spans="1:10" x14ac:dyDescent="0.3">
      <c r="A517" s="5">
        <v>2026</v>
      </c>
      <c r="B517" s="2" t="s">
        <v>88</v>
      </c>
      <c r="C517" s="3">
        <v>46258</v>
      </c>
      <c r="D517" s="2" t="s">
        <v>16</v>
      </c>
      <c r="E517" s="2" t="s">
        <v>47</v>
      </c>
      <c r="F517" s="2" t="s">
        <v>50</v>
      </c>
      <c r="G517" s="2" t="s">
        <v>85</v>
      </c>
      <c r="H517" s="4">
        <v>1456.2</v>
      </c>
      <c r="I517" s="2" t="s">
        <v>20</v>
      </c>
      <c r="J517" s="6" t="s">
        <v>15</v>
      </c>
    </row>
    <row r="518" spans="1:10" x14ac:dyDescent="0.3">
      <c r="A518" s="5">
        <v>2026</v>
      </c>
      <c r="B518" s="2" t="s">
        <v>88</v>
      </c>
      <c r="C518" s="3">
        <v>46238</v>
      </c>
      <c r="D518" s="2" t="s">
        <v>16</v>
      </c>
      <c r="E518" s="2" t="s">
        <v>52</v>
      </c>
      <c r="F518" s="2" t="s">
        <v>53</v>
      </c>
      <c r="G518" s="2" t="s">
        <v>86</v>
      </c>
      <c r="H518" s="4">
        <v>1203.3</v>
      </c>
      <c r="I518" s="2" t="s">
        <v>28</v>
      </c>
      <c r="J518" s="6" t="s">
        <v>15</v>
      </c>
    </row>
    <row r="519" spans="1:10" x14ac:dyDescent="0.3">
      <c r="A519" s="5">
        <v>2026</v>
      </c>
      <c r="B519" s="2" t="s">
        <v>88</v>
      </c>
      <c r="C519" s="3">
        <v>46238</v>
      </c>
      <c r="D519" s="2" t="s">
        <v>16</v>
      </c>
      <c r="E519" s="2" t="s">
        <v>52</v>
      </c>
      <c r="F519" s="2" t="s">
        <v>55</v>
      </c>
      <c r="G519" s="2" t="s">
        <v>56</v>
      </c>
      <c r="H519" s="4">
        <v>594</v>
      </c>
      <c r="I519" s="2" t="s">
        <v>28</v>
      </c>
      <c r="J519" s="6" t="s">
        <v>15</v>
      </c>
    </row>
    <row r="520" spans="1:10" x14ac:dyDescent="0.3">
      <c r="A520" s="5">
        <v>2026</v>
      </c>
      <c r="B520" s="2" t="s">
        <v>88</v>
      </c>
      <c r="C520" s="3">
        <v>46257</v>
      </c>
      <c r="D520" s="2" t="s">
        <v>16</v>
      </c>
      <c r="E520" s="2" t="s">
        <v>52</v>
      </c>
      <c r="F520" s="2" t="s">
        <v>57</v>
      </c>
      <c r="G520" s="2" t="s">
        <v>58</v>
      </c>
      <c r="H520" s="4">
        <v>327.60000000000002</v>
      </c>
      <c r="I520" s="2" t="s">
        <v>20</v>
      </c>
      <c r="J520" s="6" t="s">
        <v>15</v>
      </c>
    </row>
    <row r="521" spans="1:10" x14ac:dyDescent="0.3">
      <c r="A521" s="5">
        <v>2026</v>
      </c>
      <c r="B521" s="2" t="s">
        <v>88</v>
      </c>
      <c r="C521" s="3">
        <v>46253</v>
      </c>
      <c r="D521" s="2" t="s">
        <v>16</v>
      </c>
      <c r="E521" s="2" t="s">
        <v>52</v>
      </c>
      <c r="F521" s="2" t="s">
        <v>59</v>
      </c>
      <c r="G521" s="2" t="s">
        <v>60</v>
      </c>
      <c r="H521" s="4">
        <v>301.5</v>
      </c>
      <c r="I521" s="2" t="s">
        <v>14</v>
      </c>
      <c r="J521" s="6" t="s">
        <v>15</v>
      </c>
    </row>
    <row r="522" spans="1:10" x14ac:dyDescent="0.3">
      <c r="A522" s="5">
        <v>2026</v>
      </c>
      <c r="B522" s="2" t="s">
        <v>88</v>
      </c>
      <c r="C522" s="3">
        <v>46254</v>
      </c>
      <c r="D522" s="2" t="s">
        <v>16</v>
      </c>
      <c r="E522" s="2" t="s">
        <v>61</v>
      </c>
      <c r="F522" s="2" t="s">
        <v>62</v>
      </c>
      <c r="G522" s="2" t="s">
        <v>63</v>
      </c>
      <c r="H522" s="4">
        <v>2150.1</v>
      </c>
      <c r="I522" s="2" t="s">
        <v>20</v>
      </c>
      <c r="J522" s="6" t="s">
        <v>15</v>
      </c>
    </row>
    <row r="523" spans="1:10" x14ac:dyDescent="0.3">
      <c r="A523" s="5">
        <v>2026</v>
      </c>
      <c r="B523" s="2" t="s">
        <v>88</v>
      </c>
      <c r="C523" s="3">
        <v>46261</v>
      </c>
      <c r="D523" s="2" t="s">
        <v>16</v>
      </c>
      <c r="E523" s="2" t="s">
        <v>61</v>
      </c>
      <c r="F523" s="2" t="s">
        <v>64</v>
      </c>
      <c r="G523" s="2" t="s">
        <v>63</v>
      </c>
      <c r="H523" s="4">
        <v>2580.3000000000002</v>
      </c>
      <c r="I523" s="2" t="s">
        <v>28</v>
      </c>
      <c r="J523" s="6" t="s">
        <v>15</v>
      </c>
    </row>
    <row r="524" spans="1:10" x14ac:dyDescent="0.3">
      <c r="A524" s="5">
        <v>2026</v>
      </c>
      <c r="B524" s="2" t="s">
        <v>88</v>
      </c>
      <c r="C524" s="3">
        <v>46242</v>
      </c>
      <c r="D524" s="2" t="s">
        <v>16</v>
      </c>
      <c r="E524" s="2" t="s">
        <v>65</v>
      </c>
      <c r="F524" s="2" t="s">
        <v>66</v>
      </c>
      <c r="G524" s="2" t="s">
        <v>67</v>
      </c>
      <c r="H524" s="4">
        <v>7309.8</v>
      </c>
      <c r="I524" s="2" t="s">
        <v>20</v>
      </c>
      <c r="J524" s="6" t="s">
        <v>15</v>
      </c>
    </row>
    <row r="525" spans="1:10" x14ac:dyDescent="0.3">
      <c r="A525" s="5">
        <v>2026</v>
      </c>
      <c r="B525" s="2" t="s">
        <v>88</v>
      </c>
      <c r="C525" s="3">
        <v>46258</v>
      </c>
      <c r="D525" s="2" t="s">
        <v>68</v>
      </c>
      <c r="E525" s="2" t="s">
        <v>69</v>
      </c>
      <c r="F525" s="2" t="s">
        <v>70</v>
      </c>
      <c r="G525" s="2" t="s">
        <v>71</v>
      </c>
      <c r="H525" s="4">
        <v>8511</v>
      </c>
      <c r="I525" s="2" t="s">
        <v>72</v>
      </c>
      <c r="J525" s="6" t="s">
        <v>15</v>
      </c>
    </row>
    <row r="526" spans="1:10" x14ac:dyDescent="0.3">
      <c r="A526" s="5">
        <v>2026</v>
      </c>
      <c r="B526" s="2" t="s">
        <v>88</v>
      </c>
      <c r="C526" s="3">
        <v>46248</v>
      </c>
      <c r="D526" s="2" t="s">
        <v>68</v>
      </c>
      <c r="E526" s="2" t="s">
        <v>69</v>
      </c>
      <c r="F526" s="2" t="s">
        <v>73</v>
      </c>
      <c r="G526" s="2" t="s">
        <v>71</v>
      </c>
      <c r="H526" s="4">
        <v>5319</v>
      </c>
      <c r="I526" s="2" t="s">
        <v>72</v>
      </c>
      <c r="J526" s="6" t="s">
        <v>15</v>
      </c>
    </row>
    <row r="527" spans="1:10" x14ac:dyDescent="0.3">
      <c r="A527" s="5">
        <v>2026</v>
      </c>
      <c r="B527" s="2" t="s">
        <v>88</v>
      </c>
      <c r="C527" s="3">
        <v>46250</v>
      </c>
      <c r="D527" s="2" t="s">
        <v>68</v>
      </c>
      <c r="E527" s="2" t="s">
        <v>69</v>
      </c>
      <c r="F527" s="2" t="s">
        <v>74</v>
      </c>
      <c r="G527" s="2" t="s">
        <v>75</v>
      </c>
      <c r="H527" s="4">
        <v>3192</v>
      </c>
      <c r="I527" s="2" t="s">
        <v>72</v>
      </c>
      <c r="J527" s="6" t="s">
        <v>15</v>
      </c>
    </row>
    <row r="528" spans="1:10" x14ac:dyDescent="0.3">
      <c r="A528" s="5">
        <v>2026</v>
      </c>
      <c r="B528" s="2" t="s">
        <v>88</v>
      </c>
      <c r="C528" s="3">
        <v>46260</v>
      </c>
      <c r="D528" s="2" t="s">
        <v>68</v>
      </c>
      <c r="E528" s="2" t="s">
        <v>69</v>
      </c>
      <c r="F528" s="2" t="s">
        <v>76</v>
      </c>
      <c r="G528" s="2" t="s">
        <v>77</v>
      </c>
      <c r="H528" s="4">
        <v>1773</v>
      </c>
      <c r="I528" s="2" t="s">
        <v>72</v>
      </c>
      <c r="J528" s="6" t="s">
        <v>15</v>
      </c>
    </row>
    <row r="529" spans="1:10" x14ac:dyDescent="0.3">
      <c r="A529" s="5">
        <v>2026</v>
      </c>
      <c r="B529" s="2" t="s">
        <v>89</v>
      </c>
      <c r="C529" s="3">
        <v>46266</v>
      </c>
      <c r="D529" s="2" t="s">
        <v>11</v>
      </c>
      <c r="E529" s="2" t="s">
        <v>12</v>
      </c>
      <c r="F529" s="2" t="s">
        <v>12</v>
      </c>
      <c r="G529" s="2" t="s">
        <v>13</v>
      </c>
      <c r="H529" s="4">
        <v>84075</v>
      </c>
      <c r="I529" s="2" t="s">
        <v>14</v>
      </c>
      <c r="J529" s="6" t="s">
        <v>15</v>
      </c>
    </row>
    <row r="530" spans="1:10" x14ac:dyDescent="0.3">
      <c r="A530" s="5">
        <v>2026</v>
      </c>
      <c r="B530" s="2" t="s">
        <v>89</v>
      </c>
      <c r="C530" s="3">
        <v>46272</v>
      </c>
      <c r="D530" s="2" t="s">
        <v>16</v>
      </c>
      <c r="E530" s="2" t="s">
        <v>17</v>
      </c>
      <c r="F530" s="2" t="s">
        <v>18</v>
      </c>
      <c r="G530" s="2" t="s">
        <v>19</v>
      </c>
      <c r="H530" s="4">
        <v>20042.099999999999</v>
      </c>
      <c r="I530" s="2" t="s">
        <v>28</v>
      </c>
      <c r="J530" s="6" t="s">
        <v>15</v>
      </c>
    </row>
    <row r="531" spans="1:10" x14ac:dyDescent="0.3">
      <c r="A531" s="5">
        <v>2026</v>
      </c>
      <c r="B531" s="2" t="s">
        <v>89</v>
      </c>
      <c r="C531" s="3">
        <v>46274</v>
      </c>
      <c r="D531" s="2" t="s">
        <v>16</v>
      </c>
      <c r="E531" s="2" t="s">
        <v>17</v>
      </c>
      <c r="F531" s="2" t="s">
        <v>21</v>
      </c>
      <c r="G531" s="2" t="s">
        <v>22</v>
      </c>
      <c r="H531" s="4">
        <v>1432.8</v>
      </c>
      <c r="I531" s="2" t="s">
        <v>28</v>
      </c>
      <c r="J531" s="6" t="s">
        <v>15</v>
      </c>
    </row>
    <row r="532" spans="1:10" x14ac:dyDescent="0.3">
      <c r="A532" s="5">
        <v>2026</v>
      </c>
      <c r="B532" s="2" t="s">
        <v>89</v>
      </c>
      <c r="C532" s="3">
        <v>46292</v>
      </c>
      <c r="D532" s="2" t="s">
        <v>16</v>
      </c>
      <c r="E532" s="2" t="s">
        <v>23</v>
      </c>
      <c r="F532" s="2" t="s">
        <v>24</v>
      </c>
      <c r="G532" s="2" t="s">
        <v>25</v>
      </c>
      <c r="H532" s="4">
        <v>5188.5</v>
      </c>
      <c r="I532" s="2" t="s">
        <v>20</v>
      </c>
      <c r="J532" s="6" t="s">
        <v>15</v>
      </c>
    </row>
    <row r="533" spans="1:10" x14ac:dyDescent="0.3">
      <c r="A533" s="5">
        <v>2026</v>
      </c>
      <c r="B533" s="2" t="s">
        <v>89</v>
      </c>
      <c r="C533" s="3">
        <v>46268</v>
      </c>
      <c r="D533" s="2" t="s">
        <v>16</v>
      </c>
      <c r="E533" s="2" t="s">
        <v>23</v>
      </c>
      <c r="F533" s="2" t="s">
        <v>26</v>
      </c>
      <c r="G533" s="2" t="s">
        <v>27</v>
      </c>
      <c r="H533" s="4">
        <v>2755.8</v>
      </c>
      <c r="I533" s="2" t="s">
        <v>14</v>
      </c>
      <c r="J533" s="6" t="s">
        <v>15</v>
      </c>
    </row>
    <row r="534" spans="1:10" x14ac:dyDescent="0.3">
      <c r="A534" s="5">
        <v>2026</v>
      </c>
      <c r="B534" s="2" t="s">
        <v>89</v>
      </c>
      <c r="C534" s="3">
        <v>46293</v>
      </c>
      <c r="D534" s="2" t="s">
        <v>16</v>
      </c>
      <c r="E534" s="2" t="s">
        <v>23</v>
      </c>
      <c r="F534" s="2" t="s">
        <v>29</v>
      </c>
      <c r="G534" s="2" t="s">
        <v>80</v>
      </c>
      <c r="H534" s="4">
        <v>1926.9</v>
      </c>
      <c r="I534" s="2" t="s">
        <v>20</v>
      </c>
      <c r="J534" s="6" t="s">
        <v>15</v>
      </c>
    </row>
    <row r="535" spans="1:10" x14ac:dyDescent="0.3">
      <c r="A535" s="5">
        <v>2026</v>
      </c>
      <c r="B535" s="2" t="s">
        <v>89</v>
      </c>
      <c r="C535" s="3">
        <v>46291</v>
      </c>
      <c r="D535" s="2" t="s">
        <v>16</v>
      </c>
      <c r="E535" s="2" t="s">
        <v>31</v>
      </c>
      <c r="F535" s="2" t="s">
        <v>32</v>
      </c>
      <c r="G535" s="2" t="s">
        <v>33</v>
      </c>
      <c r="H535" s="4">
        <v>2286.9</v>
      </c>
      <c r="I535" s="2" t="s">
        <v>20</v>
      </c>
      <c r="J535" s="6" t="s">
        <v>15</v>
      </c>
    </row>
    <row r="536" spans="1:10" x14ac:dyDescent="0.3">
      <c r="A536" s="5">
        <v>2026</v>
      </c>
      <c r="B536" s="2" t="s">
        <v>89</v>
      </c>
      <c r="C536" s="3">
        <v>46280</v>
      </c>
      <c r="D536" s="2" t="s">
        <v>16</v>
      </c>
      <c r="E536" s="2" t="s">
        <v>31</v>
      </c>
      <c r="F536" s="2" t="s">
        <v>34</v>
      </c>
      <c r="G536" s="2" t="s">
        <v>35</v>
      </c>
      <c r="H536" s="4">
        <v>1231.2</v>
      </c>
      <c r="I536" s="2" t="s">
        <v>28</v>
      </c>
      <c r="J536" s="6" t="s">
        <v>15</v>
      </c>
    </row>
    <row r="537" spans="1:10" x14ac:dyDescent="0.3">
      <c r="A537" s="5">
        <v>2026</v>
      </c>
      <c r="B537" s="2" t="s">
        <v>89</v>
      </c>
      <c r="C537" s="3">
        <v>46273</v>
      </c>
      <c r="D537" s="2" t="s">
        <v>16</v>
      </c>
      <c r="E537" s="2" t="s">
        <v>31</v>
      </c>
      <c r="F537" s="2" t="s">
        <v>36</v>
      </c>
      <c r="G537" s="2" t="s">
        <v>82</v>
      </c>
      <c r="H537" s="4">
        <v>817.2</v>
      </c>
      <c r="I537" s="2" t="s">
        <v>20</v>
      </c>
      <c r="J537" s="6" t="s">
        <v>15</v>
      </c>
    </row>
    <row r="538" spans="1:10" x14ac:dyDescent="0.3">
      <c r="A538" s="5">
        <v>2026</v>
      </c>
      <c r="B538" s="2" t="s">
        <v>89</v>
      </c>
      <c r="C538" s="3">
        <v>46272</v>
      </c>
      <c r="D538" s="2" t="s">
        <v>16</v>
      </c>
      <c r="E538" s="2" t="s">
        <v>38</v>
      </c>
      <c r="F538" s="2" t="s">
        <v>39</v>
      </c>
      <c r="G538" s="2" t="s">
        <v>40</v>
      </c>
      <c r="H538" s="4">
        <v>1448.1</v>
      </c>
      <c r="I538" s="2" t="s">
        <v>20</v>
      </c>
      <c r="J538" s="6" t="s">
        <v>15</v>
      </c>
    </row>
    <row r="539" spans="1:10" x14ac:dyDescent="0.3">
      <c r="A539" s="5">
        <v>2026</v>
      </c>
      <c r="B539" s="2" t="s">
        <v>89</v>
      </c>
      <c r="C539" s="3">
        <v>46279</v>
      </c>
      <c r="D539" s="2" t="s">
        <v>16</v>
      </c>
      <c r="E539" s="2" t="s">
        <v>38</v>
      </c>
      <c r="F539" s="2" t="s">
        <v>41</v>
      </c>
      <c r="G539" s="2" t="s">
        <v>42</v>
      </c>
      <c r="H539" s="4">
        <v>715.5</v>
      </c>
      <c r="I539" s="2" t="s">
        <v>28</v>
      </c>
      <c r="J539" s="6" t="s">
        <v>15</v>
      </c>
    </row>
    <row r="540" spans="1:10" x14ac:dyDescent="0.3">
      <c r="A540" s="5">
        <v>2026</v>
      </c>
      <c r="B540" s="2" t="s">
        <v>89</v>
      </c>
      <c r="C540" s="3">
        <v>46276</v>
      </c>
      <c r="D540" s="2" t="s">
        <v>16</v>
      </c>
      <c r="E540" s="2" t="s">
        <v>38</v>
      </c>
      <c r="F540" s="2" t="s">
        <v>43</v>
      </c>
      <c r="G540" s="2" t="s">
        <v>44</v>
      </c>
      <c r="H540" s="4">
        <v>500.4</v>
      </c>
      <c r="I540" s="2" t="s">
        <v>14</v>
      </c>
      <c r="J540" s="6" t="s">
        <v>15</v>
      </c>
    </row>
    <row r="541" spans="1:10" x14ac:dyDescent="0.3">
      <c r="A541" s="5">
        <v>2026</v>
      </c>
      <c r="B541" s="2" t="s">
        <v>89</v>
      </c>
      <c r="C541" s="3">
        <v>46290</v>
      </c>
      <c r="D541" s="2" t="s">
        <v>16</v>
      </c>
      <c r="E541" s="2" t="s">
        <v>38</v>
      </c>
      <c r="F541" s="2" t="s">
        <v>45</v>
      </c>
      <c r="G541" s="2" t="s">
        <v>46</v>
      </c>
      <c r="H541" s="4">
        <v>592.20000000000005</v>
      </c>
      <c r="I541" s="2" t="s">
        <v>20</v>
      </c>
      <c r="J541" s="6" t="s">
        <v>15</v>
      </c>
    </row>
    <row r="542" spans="1:10" x14ac:dyDescent="0.3">
      <c r="A542" s="5">
        <v>2026</v>
      </c>
      <c r="B542" s="2" t="s">
        <v>89</v>
      </c>
      <c r="C542" s="3">
        <v>46273</v>
      </c>
      <c r="D542" s="2" t="s">
        <v>16</v>
      </c>
      <c r="E542" s="2" t="s">
        <v>47</v>
      </c>
      <c r="F542" s="2" t="s">
        <v>48</v>
      </c>
      <c r="G542" s="2" t="s">
        <v>84</v>
      </c>
      <c r="H542" s="4">
        <v>1635.3</v>
      </c>
      <c r="I542" s="2" t="s">
        <v>20</v>
      </c>
      <c r="J542" s="6" t="s">
        <v>15</v>
      </c>
    </row>
    <row r="543" spans="1:10" x14ac:dyDescent="0.3">
      <c r="A543" s="5">
        <v>2026</v>
      </c>
      <c r="B543" s="2" t="s">
        <v>89</v>
      </c>
      <c r="C543" s="3">
        <v>46268</v>
      </c>
      <c r="D543" s="2" t="s">
        <v>16</v>
      </c>
      <c r="E543" s="2" t="s">
        <v>47</v>
      </c>
      <c r="F543" s="2" t="s">
        <v>50</v>
      </c>
      <c r="G543" s="2" t="s">
        <v>85</v>
      </c>
      <c r="H543" s="4">
        <v>1137.5999999999999</v>
      </c>
      <c r="I543" s="2" t="s">
        <v>14</v>
      </c>
      <c r="J543" s="6" t="s">
        <v>15</v>
      </c>
    </row>
    <row r="544" spans="1:10" x14ac:dyDescent="0.3">
      <c r="A544" s="5">
        <v>2026</v>
      </c>
      <c r="B544" s="2" t="s">
        <v>89</v>
      </c>
      <c r="C544" s="3">
        <v>46277</v>
      </c>
      <c r="D544" s="2" t="s">
        <v>16</v>
      </c>
      <c r="E544" s="2" t="s">
        <v>52</v>
      </c>
      <c r="F544" s="2" t="s">
        <v>53</v>
      </c>
      <c r="G544" s="2" t="s">
        <v>86</v>
      </c>
      <c r="H544" s="4">
        <v>751.5</v>
      </c>
      <c r="I544" s="2" t="s">
        <v>20</v>
      </c>
      <c r="J544" s="6" t="s">
        <v>15</v>
      </c>
    </row>
    <row r="545" spans="1:10" x14ac:dyDescent="0.3">
      <c r="A545" s="5">
        <v>2026</v>
      </c>
      <c r="B545" s="2" t="s">
        <v>89</v>
      </c>
      <c r="C545" s="3">
        <v>46285</v>
      </c>
      <c r="D545" s="2" t="s">
        <v>16</v>
      </c>
      <c r="E545" s="2" t="s">
        <v>52</v>
      </c>
      <c r="F545" s="2" t="s">
        <v>55</v>
      </c>
      <c r="G545" s="2" t="s">
        <v>87</v>
      </c>
      <c r="H545" s="4">
        <v>450.9</v>
      </c>
      <c r="I545" s="2" t="s">
        <v>14</v>
      </c>
      <c r="J545" s="6" t="s">
        <v>15</v>
      </c>
    </row>
    <row r="546" spans="1:10" x14ac:dyDescent="0.3">
      <c r="A546" s="5">
        <v>2026</v>
      </c>
      <c r="B546" s="2" t="s">
        <v>89</v>
      </c>
      <c r="C546" s="3">
        <v>46283</v>
      </c>
      <c r="D546" s="2" t="s">
        <v>16</v>
      </c>
      <c r="E546" s="2" t="s">
        <v>52</v>
      </c>
      <c r="F546" s="2" t="s">
        <v>57</v>
      </c>
      <c r="G546" s="2" t="s">
        <v>58</v>
      </c>
      <c r="H546" s="4">
        <v>317.7</v>
      </c>
      <c r="I546" s="2" t="s">
        <v>20</v>
      </c>
      <c r="J546" s="6" t="s">
        <v>15</v>
      </c>
    </row>
    <row r="547" spans="1:10" x14ac:dyDescent="0.3">
      <c r="A547" s="5">
        <v>2026</v>
      </c>
      <c r="B547" s="2" t="s">
        <v>89</v>
      </c>
      <c r="C547" s="3">
        <v>46283</v>
      </c>
      <c r="D547" s="2" t="s">
        <v>16</v>
      </c>
      <c r="E547" s="2" t="s">
        <v>52</v>
      </c>
      <c r="F547" s="2" t="s">
        <v>59</v>
      </c>
      <c r="G547" s="2" t="s">
        <v>60</v>
      </c>
      <c r="H547" s="4">
        <v>1237.5</v>
      </c>
      <c r="I547" s="2" t="s">
        <v>20</v>
      </c>
      <c r="J547" s="6" t="s">
        <v>15</v>
      </c>
    </row>
    <row r="548" spans="1:10" x14ac:dyDescent="0.3">
      <c r="A548" s="5">
        <v>2026</v>
      </c>
      <c r="B548" s="2" t="s">
        <v>89</v>
      </c>
      <c r="C548" s="3">
        <v>46269</v>
      </c>
      <c r="D548" s="2" t="s">
        <v>16</v>
      </c>
      <c r="E548" s="2" t="s">
        <v>61</v>
      </c>
      <c r="F548" s="2" t="s">
        <v>62</v>
      </c>
      <c r="G548" s="2" t="s">
        <v>63</v>
      </c>
      <c r="H548" s="4">
        <v>1790.1</v>
      </c>
      <c r="I548" s="2" t="s">
        <v>14</v>
      </c>
      <c r="J548" s="6" t="s">
        <v>15</v>
      </c>
    </row>
    <row r="549" spans="1:10" x14ac:dyDescent="0.3">
      <c r="A549" s="5">
        <v>2026</v>
      </c>
      <c r="B549" s="2" t="s">
        <v>89</v>
      </c>
      <c r="C549" s="3">
        <v>46274</v>
      </c>
      <c r="D549" s="2" t="s">
        <v>16</v>
      </c>
      <c r="E549" s="2" t="s">
        <v>61</v>
      </c>
      <c r="F549" s="2" t="s">
        <v>64</v>
      </c>
      <c r="G549" s="2" t="s">
        <v>63</v>
      </c>
      <c r="H549" s="4">
        <v>2147.4</v>
      </c>
      <c r="I549" s="2" t="s">
        <v>20</v>
      </c>
      <c r="J549" s="6" t="s">
        <v>15</v>
      </c>
    </row>
    <row r="550" spans="1:10" x14ac:dyDescent="0.3">
      <c r="A550" s="5">
        <v>2026</v>
      </c>
      <c r="B550" s="2" t="s">
        <v>89</v>
      </c>
      <c r="C550" s="3">
        <v>46285</v>
      </c>
      <c r="D550" s="2" t="s">
        <v>16</v>
      </c>
      <c r="E550" s="2" t="s">
        <v>65</v>
      </c>
      <c r="F550" s="2" t="s">
        <v>66</v>
      </c>
      <c r="G550" s="2" t="s">
        <v>67</v>
      </c>
      <c r="H550" s="4">
        <v>6084.9</v>
      </c>
      <c r="I550" s="2" t="s">
        <v>14</v>
      </c>
      <c r="J550" s="6" t="s">
        <v>15</v>
      </c>
    </row>
    <row r="551" spans="1:10" x14ac:dyDescent="0.3">
      <c r="A551" s="5">
        <v>2026</v>
      </c>
      <c r="B551" s="2" t="s">
        <v>89</v>
      </c>
      <c r="C551" s="3">
        <v>46287</v>
      </c>
      <c r="D551" s="2" t="s">
        <v>68</v>
      </c>
      <c r="E551" s="2" t="s">
        <v>69</v>
      </c>
      <c r="F551" s="2" t="s">
        <v>70</v>
      </c>
      <c r="G551" s="2" t="s">
        <v>71</v>
      </c>
      <c r="H551" s="4">
        <v>7234</v>
      </c>
      <c r="I551" s="2" t="s">
        <v>72</v>
      </c>
      <c r="J551" s="6" t="s">
        <v>15</v>
      </c>
    </row>
    <row r="552" spans="1:10" x14ac:dyDescent="0.3">
      <c r="A552" s="5">
        <v>2026</v>
      </c>
      <c r="B552" s="2" t="s">
        <v>89</v>
      </c>
      <c r="C552" s="3">
        <v>46287</v>
      </c>
      <c r="D552" s="2" t="s">
        <v>68</v>
      </c>
      <c r="E552" s="2" t="s">
        <v>69</v>
      </c>
      <c r="F552" s="2" t="s">
        <v>73</v>
      </c>
      <c r="G552" s="2" t="s">
        <v>71</v>
      </c>
      <c r="H552" s="4">
        <v>4522</v>
      </c>
      <c r="I552" s="2" t="s">
        <v>72</v>
      </c>
      <c r="J552" s="6" t="s">
        <v>15</v>
      </c>
    </row>
    <row r="553" spans="1:10" x14ac:dyDescent="0.3">
      <c r="A553" s="5">
        <v>2026</v>
      </c>
      <c r="B553" s="2" t="s">
        <v>89</v>
      </c>
      <c r="C553" s="3">
        <v>46281</v>
      </c>
      <c r="D553" s="2" t="s">
        <v>68</v>
      </c>
      <c r="E553" s="2" t="s">
        <v>69</v>
      </c>
      <c r="F553" s="2" t="s">
        <v>74</v>
      </c>
      <c r="G553" s="2" t="s">
        <v>75</v>
      </c>
      <c r="H553" s="4">
        <v>2713</v>
      </c>
      <c r="I553" s="2" t="s">
        <v>72</v>
      </c>
      <c r="J553" s="6" t="s">
        <v>15</v>
      </c>
    </row>
    <row r="554" spans="1:10" x14ac:dyDescent="0.3">
      <c r="A554" s="5">
        <v>2026</v>
      </c>
      <c r="B554" s="2" t="s">
        <v>89</v>
      </c>
      <c r="C554" s="3">
        <v>46276</v>
      </c>
      <c r="D554" s="2" t="s">
        <v>68</v>
      </c>
      <c r="E554" s="2" t="s">
        <v>69</v>
      </c>
      <c r="F554" s="2" t="s">
        <v>76</v>
      </c>
      <c r="G554" s="2" t="s">
        <v>77</v>
      </c>
      <c r="H554" s="4">
        <v>1508</v>
      </c>
      <c r="I554" s="2" t="s">
        <v>72</v>
      </c>
      <c r="J554" s="6" t="s">
        <v>15</v>
      </c>
    </row>
    <row r="555" spans="1:10" x14ac:dyDescent="0.3">
      <c r="A555" s="5">
        <v>2026</v>
      </c>
      <c r="B555" s="2" t="s">
        <v>90</v>
      </c>
      <c r="C555" s="3">
        <v>46296</v>
      </c>
      <c r="D555" s="2" t="s">
        <v>11</v>
      </c>
      <c r="E555" s="2" t="s">
        <v>12</v>
      </c>
      <c r="F555" s="2" t="s">
        <v>12</v>
      </c>
      <c r="G555" s="2" t="s">
        <v>13</v>
      </c>
      <c r="H555" s="4">
        <v>88750</v>
      </c>
      <c r="I555" s="2" t="s">
        <v>14</v>
      </c>
      <c r="J555" s="6" t="s">
        <v>15</v>
      </c>
    </row>
    <row r="556" spans="1:10" x14ac:dyDescent="0.3">
      <c r="A556" s="5">
        <v>2026</v>
      </c>
      <c r="B556" s="2" t="s">
        <v>90</v>
      </c>
      <c r="C556" s="3">
        <v>46300</v>
      </c>
      <c r="D556" s="2" t="s">
        <v>16</v>
      </c>
      <c r="E556" s="2" t="s">
        <v>17</v>
      </c>
      <c r="F556" s="2" t="s">
        <v>18</v>
      </c>
      <c r="G556" s="2" t="s">
        <v>19</v>
      </c>
      <c r="H556" s="4">
        <v>21486.6</v>
      </c>
      <c r="I556" s="2" t="s">
        <v>14</v>
      </c>
      <c r="J556" s="6" t="s">
        <v>15</v>
      </c>
    </row>
    <row r="557" spans="1:10" x14ac:dyDescent="0.3">
      <c r="A557" s="5">
        <v>2026</v>
      </c>
      <c r="B557" s="2" t="s">
        <v>90</v>
      </c>
      <c r="C557" s="3">
        <v>46303</v>
      </c>
      <c r="D557" s="2" t="s">
        <v>16</v>
      </c>
      <c r="E557" s="2" t="s">
        <v>17</v>
      </c>
      <c r="F557" s="2" t="s">
        <v>21</v>
      </c>
      <c r="G557" s="2" t="s">
        <v>22</v>
      </c>
      <c r="H557" s="4">
        <v>1874.7</v>
      </c>
      <c r="I557" s="2" t="s">
        <v>20</v>
      </c>
      <c r="J557" s="6" t="s">
        <v>15</v>
      </c>
    </row>
    <row r="558" spans="1:10" x14ac:dyDescent="0.3">
      <c r="A558" s="5">
        <v>2026</v>
      </c>
      <c r="B558" s="2" t="s">
        <v>90</v>
      </c>
      <c r="C558" s="3">
        <v>46308</v>
      </c>
      <c r="D558" s="2" t="s">
        <v>16</v>
      </c>
      <c r="E558" s="2" t="s">
        <v>23</v>
      </c>
      <c r="F558" s="2" t="s">
        <v>24</v>
      </c>
      <c r="G558" s="2" t="s">
        <v>51</v>
      </c>
      <c r="H558" s="4">
        <v>6121.8</v>
      </c>
      <c r="I558" s="2" t="s">
        <v>20</v>
      </c>
      <c r="J558" s="6" t="s">
        <v>15</v>
      </c>
    </row>
    <row r="559" spans="1:10" x14ac:dyDescent="0.3">
      <c r="A559" s="5">
        <v>2026</v>
      </c>
      <c r="B559" s="2" t="s">
        <v>90</v>
      </c>
      <c r="C559" s="3">
        <v>46308</v>
      </c>
      <c r="D559" s="2" t="s">
        <v>16</v>
      </c>
      <c r="E559" s="2" t="s">
        <v>23</v>
      </c>
      <c r="F559" s="2" t="s">
        <v>26</v>
      </c>
      <c r="G559" s="2" t="s">
        <v>30</v>
      </c>
      <c r="H559" s="4">
        <v>2522.6999999999998</v>
      </c>
      <c r="I559" s="2" t="s">
        <v>20</v>
      </c>
      <c r="J559" s="6" t="s">
        <v>15</v>
      </c>
    </row>
    <row r="560" spans="1:10" x14ac:dyDescent="0.3">
      <c r="A560" s="5">
        <v>2026</v>
      </c>
      <c r="B560" s="2" t="s">
        <v>90</v>
      </c>
      <c r="C560" s="3">
        <v>46311</v>
      </c>
      <c r="D560" s="2" t="s">
        <v>16</v>
      </c>
      <c r="E560" s="2" t="s">
        <v>23</v>
      </c>
      <c r="F560" s="2" t="s">
        <v>29</v>
      </c>
      <c r="G560" s="2" t="s">
        <v>30</v>
      </c>
      <c r="H560" s="4">
        <v>1542.6</v>
      </c>
      <c r="I560" s="2" t="s">
        <v>14</v>
      </c>
      <c r="J560" s="6" t="s">
        <v>15</v>
      </c>
    </row>
    <row r="561" spans="1:10" x14ac:dyDescent="0.3">
      <c r="A561" s="5">
        <v>2026</v>
      </c>
      <c r="B561" s="2" t="s">
        <v>90</v>
      </c>
      <c r="C561" s="3">
        <v>46322</v>
      </c>
      <c r="D561" s="2" t="s">
        <v>16</v>
      </c>
      <c r="E561" s="2" t="s">
        <v>31</v>
      </c>
      <c r="F561" s="2" t="s">
        <v>32</v>
      </c>
      <c r="G561" s="2" t="s">
        <v>81</v>
      </c>
      <c r="H561" s="4">
        <v>2124.9</v>
      </c>
      <c r="I561" s="2" t="s">
        <v>14</v>
      </c>
      <c r="J561" s="6" t="s">
        <v>15</v>
      </c>
    </row>
    <row r="562" spans="1:10" x14ac:dyDescent="0.3">
      <c r="A562" s="5">
        <v>2026</v>
      </c>
      <c r="B562" s="2" t="s">
        <v>90</v>
      </c>
      <c r="C562" s="3">
        <v>46297</v>
      </c>
      <c r="D562" s="2" t="s">
        <v>16</v>
      </c>
      <c r="E562" s="2" t="s">
        <v>31</v>
      </c>
      <c r="F562" s="2" t="s">
        <v>34</v>
      </c>
      <c r="G562" s="2" t="s">
        <v>35</v>
      </c>
      <c r="H562" s="4">
        <v>1218.5999999999999</v>
      </c>
      <c r="I562" s="2" t="s">
        <v>14</v>
      </c>
      <c r="J562" s="6" t="s">
        <v>15</v>
      </c>
    </row>
    <row r="563" spans="1:10" x14ac:dyDescent="0.3">
      <c r="A563" s="5">
        <v>2026</v>
      </c>
      <c r="B563" s="2" t="s">
        <v>90</v>
      </c>
      <c r="C563" s="3">
        <v>46300</v>
      </c>
      <c r="D563" s="2" t="s">
        <v>16</v>
      </c>
      <c r="E563" s="2" t="s">
        <v>31</v>
      </c>
      <c r="F563" s="2" t="s">
        <v>36</v>
      </c>
      <c r="G563" s="2" t="s">
        <v>37</v>
      </c>
      <c r="H563" s="4">
        <v>791.1</v>
      </c>
      <c r="I563" s="2" t="s">
        <v>28</v>
      </c>
      <c r="J563" s="6" t="s">
        <v>15</v>
      </c>
    </row>
    <row r="564" spans="1:10" x14ac:dyDescent="0.3">
      <c r="A564" s="5">
        <v>2026</v>
      </c>
      <c r="B564" s="2" t="s">
        <v>90</v>
      </c>
      <c r="C564" s="3">
        <v>46300</v>
      </c>
      <c r="D564" s="2" t="s">
        <v>16</v>
      </c>
      <c r="E564" s="2" t="s">
        <v>38</v>
      </c>
      <c r="F564" s="2" t="s">
        <v>39</v>
      </c>
      <c r="G564" s="2" t="s">
        <v>40</v>
      </c>
      <c r="H564" s="4">
        <v>1853.1</v>
      </c>
      <c r="I564" s="2" t="s">
        <v>14</v>
      </c>
      <c r="J564" s="6" t="s">
        <v>15</v>
      </c>
    </row>
    <row r="565" spans="1:10" x14ac:dyDescent="0.3">
      <c r="A565" s="5">
        <v>2026</v>
      </c>
      <c r="B565" s="2" t="s">
        <v>90</v>
      </c>
      <c r="C565" s="3">
        <v>46314</v>
      </c>
      <c r="D565" s="2" t="s">
        <v>16</v>
      </c>
      <c r="E565" s="2" t="s">
        <v>38</v>
      </c>
      <c r="F565" s="2" t="s">
        <v>41</v>
      </c>
      <c r="G565" s="2" t="s">
        <v>83</v>
      </c>
      <c r="H565" s="4">
        <v>766.8</v>
      </c>
      <c r="I565" s="2" t="s">
        <v>28</v>
      </c>
      <c r="J565" s="6" t="s">
        <v>15</v>
      </c>
    </row>
    <row r="566" spans="1:10" x14ac:dyDescent="0.3">
      <c r="A566" s="5">
        <v>2026</v>
      </c>
      <c r="B566" s="2" t="s">
        <v>90</v>
      </c>
      <c r="C566" s="3">
        <v>46306</v>
      </c>
      <c r="D566" s="2" t="s">
        <v>16</v>
      </c>
      <c r="E566" s="2" t="s">
        <v>38</v>
      </c>
      <c r="F566" s="2" t="s">
        <v>43</v>
      </c>
      <c r="G566" s="2" t="s">
        <v>83</v>
      </c>
      <c r="H566" s="4">
        <v>536.4</v>
      </c>
      <c r="I566" s="2" t="s">
        <v>14</v>
      </c>
      <c r="J566" s="6" t="s">
        <v>15</v>
      </c>
    </row>
    <row r="567" spans="1:10" x14ac:dyDescent="0.3">
      <c r="A567" s="5">
        <v>2026</v>
      </c>
      <c r="B567" s="2" t="s">
        <v>90</v>
      </c>
      <c r="C567" s="3">
        <v>46307</v>
      </c>
      <c r="D567" s="2" t="s">
        <v>16</v>
      </c>
      <c r="E567" s="2" t="s">
        <v>38</v>
      </c>
      <c r="F567" s="2" t="s">
        <v>45</v>
      </c>
      <c r="G567" s="2" t="s">
        <v>46</v>
      </c>
      <c r="H567" s="4">
        <v>717.3</v>
      </c>
      <c r="I567" s="2" t="s">
        <v>14</v>
      </c>
      <c r="J567" s="6" t="s">
        <v>15</v>
      </c>
    </row>
    <row r="568" spans="1:10" x14ac:dyDescent="0.3">
      <c r="A568" s="5">
        <v>2026</v>
      </c>
      <c r="B568" s="2" t="s">
        <v>90</v>
      </c>
      <c r="C568" s="3">
        <v>46317</v>
      </c>
      <c r="D568" s="2" t="s">
        <v>16</v>
      </c>
      <c r="E568" s="2" t="s">
        <v>47</v>
      </c>
      <c r="F568" s="2" t="s">
        <v>48</v>
      </c>
      <c r="G568" s="2" t="s">
        <v>84</v>
      </c>
      <c r="H568" s="4">
        <v>2145.6</v>
      </c>
      <c r="I568" s="2" t="s">
        <v>14</v>
      </c>
      <c r="J568" s="6" t="s">
        <v>15</v>
      </c>
    </row>
    <row r="569" spans="1:10" x14ac:dyDescent="0.3">
      <c r="A569" s="5">
        <v>2026</v>
      </c>
      <c r="B569" s="2" t="s">
        <v>90</v>
      </c>
      <c r="C569" s="3">
        <v>46312</v>
      </c>
      <c r="D569" s="2" t="s">
        <v>16</v>
      </c>
      <c r="E569" s="2" t="s">
        <v>47</v>
      </c>
      <c r="F569" s="2" t="s">
        <v>50</v>
      </c>
      <c r="G569" s="2" t="s">
        <v>51</v>
      </c>
      <c r="H569" s="4">
        <v>1035</v>
      </c>
      <c r="I569" s="2" t="s">
        <v>20</v>
      </c>
      <c r="J569" s="6" t="s">
        <v>15</v>
      </c>
    </row>
    <row r="570" spans="1:10" x14ac:dyDescent="0.3">
      <c r="A570" s="5">
        <v>2026</v>
      </c>
      <c r="B570" s="2" t="s">
        <v>90</v>
      </c>
      <c r="C570" s="3">
        <v>46299</v>
      </c>
      <c r="D570" s="2" t="s">
        <v>16</v>
      </c>
      <c r="E570" s="2" t="s">
        <v>52</v>
      </c>
      <c r="F570" s="2" t="s">
        <v>53</v>
      </c>
      <c r="G570" s="2" t="s">
        <v>54</v>
      </c>
      <c r="H570" s="4">
        <v>390.6</v>
      </c>
      <c r="I570" s="2" t="s">
        <v>28</v>
      </c>
      <c r="J570" s="6" t="s">
        <v>15</v>
      </c>
    </row>
    <row r="571" spans="1:10" x14ac:dyDescent="0.3">
      <c r="A571" s="5">
        <v>2026</v>
      </c>
      <c r="B571" s="2" t="s">
        <v>90</v>
      </c>
      <c r="C571" s="3">
        <v>46298</v>
      </c>
      <c r="D571" s="2" t="s">
        <v>16</v>
      </c>
      <c r="E571" s="2" t="s">
        <v>52</v>
      </c>
      <c r="F571" s="2" t="s">
        <v>55</v>
      </c>
      <c r="G571" s="2" t="s">
        <v>56</v>
      </c>
      <c r="H571" s="4">
        <v>486.9</v>
      </c>
      <c r="I571" s="2" t="s">
        <v>28</v>
      </c>
      <c r="J571" s="6" t="s">
        <v>15</v>
      </c>
    </row>
    <row r="572" spans="1:10" x14ac:dyDescent="0.3">
      <c r="A572" s="5">
        <v>2026</v>
      </c>
      <c r="B572" s="2" t="s">
        <v>90</v>
      </c>
      <c r="C572" s="3">
        <v>46321</v>
      </c>
      <c r="D572" s="2" t="s">
        <v>16</v>
      </c>
      <c r="E572" s="2" t="s">
        <v>52</v>
      </c>
      <c r="F572" s="2" t="s">
        <v>57</v>
      </c>
      <c r="G572" s="2" t="s">
        <v>58</v>
      </c>
      <c r="H572" s="4">
        <v>719.1</v>
      </c>
      <c r="I572" s="2" t="s">
        <v>14</v>
      </c>
      <c r="J572" s="6" t="s">
        <v>15</v>
      </c>
    </row>
    <row r="573" spans="1:10" x14ac:dyDescent="0.3">
      <c r="A573" s="5">
        <v>2026</v>
      </c>
      <c r="B573" s="2" t="s">
        <v>90</v>
      </c>
      <c r="C573" s="3">
        <v>46305</v>
      </c>
      <c r="D573" s="2" t="s">
        <v>16</v>
      </c>
      <c r="E573" s="2" t="s">
        <v>52</v>
      </c>
      <c r="F573" s="2" t="s">
        <v>59</v>
      </c>
      <c r="G573" s="2" t="s">
        <v>60</v>
      </c>
      <c r="H573" s="4">
        <v>1770.3</v>
      </c>
      <c r="I573" s="2" t="s">
        <v>14</v>
      </c>
      <c r="J573" s="6" t="s">
        <v>15</v>
      </c>
    </row>
    <row r="574" spans="1:10" x14ac:dyDescent="0.3">
      <c r="A574" s="5">
        <v>2026</v>
      </c>
      <c r="B574" s="2" t="s">
        <v>90</v>
      </c>
      <c r="C574" s="3">
        <v>46311</v>
      </c>
      <c r="D574" s="2" t="s">
        <v>16</v>
      </c>
      <c r="E574" s="2" t="s">
        <v>61</v>
      </c>
      <c r="F574" s="2" t="s">
        <v>62</v>
      </c>
      <c r="G574" s="2" t="s">
        <v>63</v>
      </c>
      <c r="H574" s="4">
        <v>1918.8</v>
      </c>
      <c r="I574" s="2" t="s">
        <v>14</v>
      </c>
      <c r="J574" s="6" t="s">
        <v>15</v>
      </c>
    </row>
    <row r="575" spans="1:10" x14ac:dyDescent="0.3">
      <c r="A575" s="5">
        <v>2026</v>
      </c>
      <c r="B575" s="2" t="s">
        <v>90</v>
      </c>
      <c r="C575" s="3">
        <v>46297</v>
      </c>
      <c r="D575" s="2" t="s">
        <v>16</v>
      </c>
      <c r="E575" s="2" t="s">
        <v>61</v>
      </c>
      <c r="F575" s="2" t="s">
        <v>64</v>
      </c>
      <c r="G575" s="2" t="s">
        <v>63</v>
      </c>
      <c r="H575" s="4">
        <v>2302.1999999999998</v>
      </c>
      <c r="I575" s="2" t="s">
        <v>20</v>
      </c>
      <c r="J575" s="6" t="s">
        <v>15</v>
      </c>
    </row>
    <row r="576" spans="1:10" x14ac:dyDescent="0.3">
      <c r="A576" s="5">
        <v>2026</v>
      </c>
      <c r="B576" s="2" t="s">
        <v>90</v>
      </c>
      <c r="C576" s="3">
        <v>46319</v>
      </c>
      <c r="D576" s="2" t="s">
        <v>16</v>
      </c>
      <c r="E576" s="2" t="s">
        <v>65</v>
      </c>
      <c r="F576" s="2" t="s">
        <v>66</v>
      </c>
      <c r="G576" s="2" t="s">
        <v>67</v>
      </c>
      <c r="H576" s="4">
        <v>6523.2</v>
      </c>
      <c r="I576" s="2" t="s">
        <v>14</v>
      </c>
      <c r="J576" s="6" t="s">
        <v>15</v>
      </c>
    </row>
    <row r="577" spans="1:10" x14ac:dyDescent="0.3">
      <c r="A577" s="5">
        <v>2026</v>
      </c>
      <c r="B577" s="2" t="s">
        <v>90</v>
      </c>
      <c r="C577" s="3">
        <v>46299</v>
      </c>
      <c r="D577" s="2" t="s">
        <v>68</v>
      </c>
      <c r="E577" s="2" t="s">
        <v>69</v>
      </c>
      <c r="F577" s="2" t="s">
        <v>70</v>
      </c>
      <c r="G577" s="2" t="s">
        <v>71</v>
      </c>
      <c r="H577" s="4">
        <v>7636</v>
      </c>
      <c r="I577" s="2" t="s">
        <v>72</v>
      </c>
      <c r="J577" s="6" t="s">
        <v>15</v>
      </c>
    </row>
    <row r="578" spans="1:10" x14ac:dyDescent="0.3">
      <c r="A578" s="5">
        <v>2026</v>
      </c>
      <c r="B578" s="2" t="s">
        <v>90</v>
      </c>
      <c r="C578" s="3">
        <v>46316</v>
      </c>
      <c r="D578" s="2" t="s">
        <v>68</v>
      </c>
      <c r="E578" s="2" t="s">
        <v>69</v>
      </c>
      <c r="F578" s="2" t="s">
        <v>73</v>
      </c>
      <c r="G578" s="2" t="s">
        <v>71</v>
      </c>
      <c r="H578" s="4">
        <v>4773</v>
      </c>
      <c r="I578" s="2" t="s">
        <v>72</v>
      </c>
      <c r="J578" s="6" t="s">
        <v>15</v>
      </c>
    </row>
    <row r="579" spans="1:10" x14ac:dyDescent="0.3">
      <c r="A579" s="5">
        <v>2026</v>
      </c>
      <c r="B579" s="2" t="s">
        <v>90</v>
      </c>
      <c r="C579" s="3">
        <v>46311</v>
      </c>
      <c r="D579" s="2" t="s">
        <v>68</v>
      </c>
      <c r="E579" s="2" t="s">
        <v>69</v>
      </c>
      <c r="F579" s="2" t="s">
        <v>74</v>
      </c>
      <c r="G579" s="2" t="s">
        <v>75</v>
      </c>
      <c r="H579" s="4">
        <v>2864</v>
      </c>
      <c r="I579" s="2" t="s">
        <v>72</v>
      </c>
      <c r="J579" s="6" t="s">
        <v>15</v>
      </c>
    </row>
    <row r="580" spans="1:10" x14ac:dyDescent="0.3">
      <c r="A580" s="5">
        <v>2026</v>
      </c>
      <c r="B580" s="2" t="s">
        <v>90</v>
      </c>
      <c r="C580" s="3">
        <v>46299</v>
      </c>
      <c r="D580" s="2" t="s">
        <v>68</v>
      </c>
      <c r="E580" s="2" t="s">
        <v>69</v>
      </c>
      <c r="F580" s="2" t="s">
        <v>52</v>
      </c>
      <c r="G580" s="2" t="s">
        <v>52</v>
      </c>
      <c r="H580" s="4">
        <v>1591</v>
      </c>
      <c r="I580" s="2" t="s">
        <v>72</v>
      </c>
      <c r="J580" s="6" t="s">
        <v>15</v>
      </c>
    </row>
    <row r="581" spans="1:10" x14ac:dyDescent="0.3">
      <c r="A581" s="5">
        <v>2026</v>
      </c>
      <c r="B581" s="2" t="s">
        <v>91</v>
      </c>
      <c r="C581" s="3">
        <v>46327</v>
      </c>
      <c r="D581" s="2" t="s">
        <v>11</v>
      </c>
      <c r="E581" s="2" t="s">
        <v>12</v>
      </c>
      <c r="F581" s="2" t="s">
        <v>12</v>
      </c>
      <c r="G581" s="2" t="s">
        <v>13</v>
      </c>
      <c r="H581" s="4">
        <v>98368</v>
      </c>
      <c r="I581" s="2" t="s">
        <v>14</v>
      </c>
      <c r="J581" s="6" t="s">
        <v>15</v>
      </c>
    </row>
    <row r="582" spans="1:10" x14ac:dyDescent="0.3">
      <c r="A582" s="5">
        <v>2026</v>
      </c>
      <c r="B582" s="2" t="s">
        <v>91</v>
      </c>
      <c r="C582" s="3">
        <v>46333</v>
      </c>
      <c r="D582" s="2" t="s">
        <v>16</v>
      </c>
      <c r="E582" s="2" t="s">
        <v>17</v>
      </c>
      <c r="F582" s="2" t="s">
        <v>18</v>
      </c>
      <c r="G582" s="2" t="s">
        <v>19</v>
      </c>
      <c r="H582" s="4">
        <v>26471.7</v>
      </c>
      <c r="I582" s="2" t="s">
        <v>28</v>
      </c>
      <c r="J582" s="6" t="s">
        <v>15</v>
      </c>
    </row>
    <row r="583" spans="1:10" x14ac:dyDescent="0.3">
      <c r="A583" s="5">
        <v>2026</v>
      </c>
      <c r="B583" s="2" t="s">
        <v>91</v>
      </c>
      <c r="C583" s="3">
        <v>46328</v>
      </c>
      <c r="D583" s="2" t="s">
        <v>16</v>
      </c>
      <c r="E583" s="2" t="s">
        <v>17</v>
      </c>
      <c r="F583" s="2" t="s">
        <v>21</v>
      </c>
      <c r="G583" s="2" t="s">
        <v>22</v>
      </c>
      <c r="H583" s="4">
        <v>1778.4</v>
      </c>
      <c r="I583" s="2" t="s">
        <v>14</v>
      </c>
      <c r="J583" s="6" t="s">
        <v>15</v>
      </c>
    </row>
    <row r="584" spans="1:10" x14ac:dyDescent="0.3">
      <c r="A584" s="5">
        <v>2026</v>
      </c>
      <c r="B584" s="2" t="s">
        <v>91</v>
      </c>
      <c r="C584" s="3">
        <v>46338</v>
      </c>
      <c r="D584" s="2" t="s">
        <v>16</v>
      </c>
      <c r="E584" s="2" t="s">
        <v>23</v>
      </c>
      <c r="F584" s="2" t="s">
        <v>24</v>
      </c>
      <c r="G584" s="2" t="s">
        <v>79</v>
      </c>
      <c r="H584" s="4">
        <v>8002.8</v>
      </c>
      <c r="I584" s="2" t="s">
        <v>14</v>
      </c>
      <c r="J584" s="6" t="s">
        <v>15</v>
      </c>
    </row>
    <row r="585" spans="1:10" x14ac:dyDescent="0.3">
      <c r="A585" s="5">
        <v>2026</v>
      </c>
      <c r="B585" s="2" t="s">
        <v>91</v>
      </c>
      <c r="C585" s="3">
        <v>46351</v>
      </c>
      <c r="D585" s="2" t="s">
        <v>16</v>
      </c>
      <c r="E585" s="2" t="s">
        <v>23</v>
      </c>
      <c r="F585" s="2" t="s">
        <v>26</v>
      </c>
      <c r="G585" s="2" t="s">
        <v>80</v>
      </c>
      <c r="H585" s="4">
        <v>2893.5</v>
      </c>
      <c r="I585" s="2" t="s">
        <v>28</v>
      </c>
      <c r="J585" s="6" t="s">
        <v>15</v>
      </c>
    </row>
    <row r="586" spans="1:10" x14ac:dyDescent="0.3">
      <c r="A586" s="5">
        <v>2026</v>
      </c>
      <c r="B586" s="2" t="s">
        <v>91</v>
      </c>
      <c r="C586" s="3">
        <v>46333</v>
      </c>
      <c r="D586" s="2" t="s">
        <v>16</v>
      </c>
      <c r="E586" s="2" t="s">
        <v>23</v>
      </c>
      <c r="F586" s="2" t="s">
        <v>29</v>
      </c>
      <c r="G586" s="2" t="s">
        <v>80</v>
      </c>
      <c r="H586" s="4">
        <v>2454.3000000000002</v>
      </c>
      <c r="I586" s="2" t="s">
        <v>28</v>
      </c>
      <c r="J586" s="6" t="s">
        <v>15</v>
      </c>
    </row>
    <row r="587" spans="1:10" x14ac:dyDescent="0.3">
      <c r="A587" s="5">
        <v>2026</v>
      </c>
      <c r="B587" s="2" t="s">
        <v>91</v>
      </c>
      <c r="C587" s="3">
        <v>46329</v>
      </c>
      <c r="D587" s="2" t="s">
        <v>16</v>
      </c>
      <c r="E587" s="2" t="s">
        <v>31</v>
      </c>
      <c r="F587" s="2" t="s">
        <v>32</v>
      </c>
      <c r="G587" s="2" t="s">
        <v>92</v>
      </c>
      <c r="H587" s="4">
        <v>2846.7</v>
      </c>
      <c r="I587" s="2" t="s">
        <v>20</v>
      </c>
      <c r="J587" s="6" t="s">
        <v>15</v>
      </c>
    </row>
    <row r="588" spans="1:10" x14ac:dyDescent="0.3">
      <c r="A588" s="5">
        <v>2026</v>
      </c>
      <c r="B588" s="2" t="s">
        <v>91</v>
      </c>
      <c r="C588" s="3">
        <v>46334</v>
      </c>
      <c r="D588" s="2" t="s">
        <v>16</v>
      </c>
      <c r="E588" s="2" t="s">
        <v>31</v>
      </c>
      <c r="F588" s="2" t="s">
        <v>34</v>
      </c>
      <c r="G588" s="2" t="s">
        <v>35</v>
      </c>
      <c r="H588" s="4">
        <v>1495.8</v>
      </c>
      <c r="I588" s="2" t="s">
        <v>28</v>
      </c>
      <c r="J588" s="6" t="s">
        <v>15</v>
      </c>
    </row>
    <row r="589" spans="1:10" x14ac:dyDescent="0.3">
      <c r="A589" s="5">
        <v>2026</v>
      </c>
      <c r="B589" s="2" t="s">
        <v>91</v>
      </c>
      <c r="C589" s="3">
        <v>46337</v>
      </c>
      <c r="D589" s="2" t="s">
        <v>16</v>
      </c>
      <c r="E589" s="2" t="s">
        <v>31</v>
      </c>
      <c r="F589" s="2" t="s">
        <v>36</v>
      </c>
      <c r="G589" s="2" t="s">
        <v>37</v>
      </c>
      <c r="H589" s="4">
        <v>711</v>
      </c>
      <c r="I589" s="2" t="s">
        <v>20</v>
      </c>
      <c r="J589" s="6" t="s">
        <v>15</v>
      </c>
    </row>
    <row r="590" spans="1:10" x14ac:dyDescent="0.3">
      <c r="A590" s="5">
        <v>2026</v>
      </c>
      <c r="B590" s="2" t="s">
        <v>91</v>
      </c>
      <c r="C590" s="3">
        <v>46328</v>
      </c>
      <c r="D590" s="2" t="s">
        <v>16</v>
      </c>
      <c r="E590" s="2" t="s">
        <v>38</v>
      </c>
      <c r="F590" s="2" t="s">
        <v>39</v>
      </c>
      <c r="G590" s="2" t="s">
        <v>40</v>
      </c>
      <c r="H590" s="4">
        <v>2386.8000000000002</v>
      </c>
      <c r="I590" s="2" t="s">
        <v>28</v>
      </c>
      <c r="J590" s="6" t="s">
        <v>15</v>
      </c>
    </row>
    <row r="591" spans="1:10" x14ac:dyDescent="0.3">
      <c r="A591" s="5">
        <v>2026</v>
      </c>
      <c r="B591" s="2" t="s">
        <v>91</v>
      </c>
      <c r="C591" s="3">
        <v>46338</v>
      </c>
      <c r="D591" s="2" t="s">
        <v>16</v>
      </c>
      <c r="E591" s="2" t="s">
        <v>38</v>
      </c>
      <c r="F591" s="2" t="s">
        <v>41</v>
      </c>
      <c r="G591" s="2" t="s">
        <v>42</v>
      </c>
      <c r="H591" s="4">
        <v>945</v>
      </c>
      <c r="I591" s="2" t="s">
        <v>20</v>
      </c>
      <c r="J591" s="6" t="s">
        <v>15</v>
      </c>
    </row>
    <row r="592" spans="1:10" x14ac:dyDescent="0.3">
      <c r="A592" s="5">
        <v>2026</v>
      </c>
      <c r="B592" s="2" t="s">
        <v>91</v>
      </c>
      <c r="C592" s="3">
        <v>46352</v>
      </c>
      <c r="D592" s="2" t="s">
        <v>16</v>
      </c>
      <c r="E592" s="2" t="s">
        <v>38</v>
      </c>
      <c r="F592" s="2" t="s">
        <v>43</v>
      </c>
      <c r="G592" s="2" t="s">
        <v>44</v>
      </c>
      <c r="H592" s="4">
        <v>661.5</v>
      </c>
      <c r="I592" s="2" t="s">
        <v>28</v>
      </c>
      <c r="J592" s="6" t="s">
        <v>15</v>
      </c>
    </row>
    <row r="593" spans="1:10" x14ac:dyDescent="0.3">
      <c r="A593" s="5">
        <v>2026</v>
      </c>
      <c r="B593" s="2" t="s">
        <v>91</v>
      </c>
      <c r="C593" s="3">
        <v>46348</v>
      </c>
      <c r="D593" s="2" t="s">
        <v>16</v>
      </c>
      <c r="E593" s="2" t="s">
        <v>38</v>
      </c>
      <c r="F593" s="2" t="s">
        <v>45</v>
      </c>
      <c r="G593" s="2" t="s">
        <v>46</v>
      </c>
      <c r="H593" s="4">
        <v>1039.5</v>
      </c>
      <c r="I593" s="2" t="s">
        <v>14</v>
      </c>
      <c r="J593" s="6" t="s">
        <v>15</v>
      </c>
    </row>
    <row r="594" spans="1:10" x14ac:dyDescent="0.3">
      <c r="A594" s="5">
        <v>2026</v>
      </c>
      <c r="B594" s="2" t="s">
        <v>91</v>
      </c>
      <c r="C594" s="3">
        <v>46354</v>
      </c>
      <c r="D594" s="2" t="s">
        <v>16</v>
      </c>
      <c r="E594" s="2" t="s">
        <v>47</v>
      </c>
      <c r="F594" s="2" t="s">
        <v>48</v>
      </c>
      <c r="G594" s="2" t="s">
        <v>84</v>
      </c>
      <c r="H594" s="4">
        <v>3586.5</v>
      </c>
      <c r="I594" s="2" t="s">
        <v>20</v>
      </c>
      <c r="J594" s="6" t="s">
        <v>15</v>
      </c>
    </row>
    <row r="595" spans="1:10" x14ac:dyDescent="0.3">
      <c r="A595" s="5">
        <v>2026</v>
      </c>
      <c r="B595" s="2" t="s">
        <v>91</v>
      </c>
      <c r="C595" s="3">
        <v>46331</v>
      </c>
      <c r="D595" s="2" t="s">
        <v>16</v>
      </c>
      <c r="E595" s="2" t="s">
        <v>47</v>
      </c>
      <c r="F595" s="2" t="s">
        <v>50</v>
      </c>
      <c r="G595" s="2" t="s">
        <v>51</v>
      </c>
      <c r="H595" s="4">
        <v>1921.5</v>
      </c>
      <c r="I595" s="2" t="s">
        <v>20</v>
      </c>
      <c r="J595" s="6" t="s">
        <v>15</v>
      </c>
    </row>
    <row r="596" spans="1:10" x14ac:dyDescent="0.3">
      <c r="A596" s="5">
        <v>2026</v>
      </c>
      <c r="B596" s="2" t="s">
        <v>91</v>
      </c>
      <c r="C596" s="3">
        <v>46346</v>
      </c>
      <c r="D596" s="2" t="s">
        <v>16</v>
      </c>
      <c r="E596" s="2" t="s">
        <v>52</v>
      </c>
      <c r="F596" s="2" t="s">
        <v>53</v>
      </c>
      <c r="G596" s="2" t="s">
        <v>54</v>
      </c>
      <c r="H596" s="4">
        <v>1415.7</v>
      </c>
      <c r="I596" s="2" t="s">
        <v>20</v>
      </c>
      <c r="J596" s="6" t="s">
        <v>15</v>
      </c>
    </row>
    <row r="597" spans="1:10" x14ac:dyDescent="0.3">
      <c r="A597" s="5">
        <v>2026</v>
      </c>
      <c r="B597" s="2" t="s">
        <v>91</v>
      </c>
      <c r="C597" s="3">
        <v>46331</v>
      </c>
      <c r="D597" s="2" t="s">
        <v>16</v>
      </c>
      <c r="E597" s="2" t="s">
        <v>52</v>
      </c>
      <c r="F597" s="2" t="s">
        <v>55</v>
      </c>
      <c r="G597" s="2" t="s">
        <v>87</v>
      </c>
      <c r="H597" s="4">
        <v>678.6</v>
      </c>
      <c r="I597" s="2" t="s">
        <v>28</v>
      </c>
      <c r="J597" s="6" t="s">
        <v>15</v>
      </c>
    </row>
    <row r="598" spans="1:10" x14ac:dyDescent="0.3">
      <c r="A598" s="5">
        <v>2026</v>
      </c>
      <c r="B598" s="2" t="s">
        <v>91</v>
      </c>
      <c r="C598" s="3">
        <v>46351</v>
      </c>
      <c r="D598" s="2" t="s">
        <v>16</v>
      </c>
      <c r="E598" s="2" t="s">
        <v>52</v>
      </c>
      <c r="F598" s="2" t="s">
        <v>57</v>
      </c>
      <c r="G598" s="2" t="s">
        <v>58</v>
      </c>
      <c r="H598" s="4">
        <v>433.8</v>
      </c>
      <c r="I598" s="2" t="s">
        <v>28</v>
      </c>
      <c r="J598" s="6" t="s">
        <v>15</v>
      </c>
    </row>
    <row r="599" spans="1:10" x14ac:dyDescent="0.3">
      <c r="A599" s="5">
        <v>2026</v>
      </c>
      <c r="B599" s="2" t="s">
        <v>91</v>
      </c>
      <c r="C599" s="3">
        <v>46347</v>
      </c>
      <c r="D599" s="2" t="s">
        <v>16</v>
      </c>
      <c r="E599" s="2" t="s">
        <v>52</v>
      </c>
      <c r="F599" s="2" t="s">
        <v>59</v>
      </c>
      <c r="G599" s="2" t="s">
        <v>60</v>
      </c>
      <c r="H599" s="4">
        <v>916.2</v>
      </c>
      <c r="I599" s="2" t="s">
        <v>28</v>
      </c>
      <c r="J599" s="6" t="s">
        <v>15</v>
      </c>
    </row>
    <row r="600" spans="1:10" x14ac:dyDescent="0.3">
      <c r="A600" s="5">
        <v>2026</v>
      </c>
      <c r="B600" s="2" t="s">
        <v>91</v>
      </c>
      <c r="C600" s="3">
        <v>46346</v>
      </c>
      <c r="D600" s="2" t="s">
        <v>16</v>
      </c>
      <c r="E600" s="2" t="s">
        <v>61</v>
      </c>
      <c r="F600" s="2" t="s">
        <v>62</v>
      </c>
      <c r="G600" s="2" t="s">
        <v>63</v>
      </c>
      <c r="H600" s="4">
        <v>2364.3000000000002</v>
      </c>
      <c r="I600" s="2" t="s">
        <v>28</v>
      </c>
      <c r="J600" s="6" t="s">
        <v>15</v>
      </c>
    </row>
    <row r="601" spans="1:10" x14ac:dyDescent="0.3">
      <c r="A601" s="5">
        <v>2026</v>
      </c>
      <c r="B601" s="2" t="s">
        <v>91</v>
      </c>
      <c r="C601" s="3">
        <v>46329</v>
      </c>
      <c r="D601" s="2" t="s">
        <v>16</v>
      </c>
      <c r="E601" s="2" t="s">
        <v>61</v>
      </c>
      <c r="F601" s="2" t="s">
        <v>64</v>
      </c>
      <c r="G601" s="2" t="s">
        <v>63</v>
      </c>
      <c r="H601" s="4">
        <v>2836.8</v>
      </c>
      <c r="I601" s="2" t="s">
        <v>20</v>
      </c>
      <c r="J601" s="6" t="s">
        <v>15</v>
      </c>
    </row>
    <row r="602" spans="1:10" x14ac:dyDescent="0.3">
      <c r="A602" s="5">
        <v>2026</v>
      </c>
      <c r="B602" s="2" t="s">
        <v>91</v>
      </c>
      <c r="C602" s="3">
        <v>46344</v>
      </c>
      <c r="D602" s="2" t="s">
        <v>16</v>
      </c>
      <c r="E602" s="2" t="s">
        <v>65</v>
      </c>
      <c r="F602" s="2" t="s">
        <v>66</v>
      </c>
      <c r="G602" s="2" t="s">
        <v>67</v>
      </c>
      <c r="H602" s="4">
        <v>8036.1</v>
      </c>
      <c r="I602" s="2" t="s">
        <v>28</v>
      </c>
      <c r="J602" s="6" t="s">
        <v>15</v>
      </c>
    </row>
    <row r="603" spans="1:10" x14ac:dyDescent="0.3">
      <c r="A603" s="5">
        <v>2026</v>
      </c>
      <c r="B603" s="2" t="s">
        <v>91</v>
      </c>
      <c r="C603" s="3">
        <v>46342</v>
      </c>
      <c r="D603" s="2" t="s">
        <v>68</v>
      </c>
      <c r="E603" s="2" t="s">
        <v>69</v>
      </c>
      <c r="F603" s="2" t="s">
        <v>70</v>
      </c>
      <c r="G603" s="2" t="s">
        <v>71</v>
      </c>
      <c r="H603" s="4">
        <v>8464</v>
      </c>
      <c r="I603" s="2" t="s">
        <v>72</v>
      </c>
      <c r="J603" s="6" t="s">
        <v>15</v>
      </c>
    </row>
    <row r="604" spans="1:10" x14ac:dyDescent="0.3">
      <c r="A604" s="5">
        <v>2026</v>
      </c>
      <c r="B604" s="2" t="s">
        <v>91</v>
      </c>
      <c r="C604" s="3">
        <v>46350</v>
      </c>
      <c r="D604" s="2" t="s">
        <v>68</v>
      </c>
      <c r="E604" s="2" t="s">
        <v>69</v>
      </c>
      <c r="F604" s="2" t="s">
        <v>73</v>
      </c>
      <c r="G604" s="2" t="s">
        <v>71</v>
      </c>
      <c r="H604" s="4">
        <v>5290</v>
      </c>
      <c r="I604" s="2" t="s">
        <v>72</v>
      </c>
      <c r="J604" s="6" t="s">
        <v>15</v>
      </c>
    </row>
    <row r="605" spans="1:10" x14ac:dyDescent="0.3">
      <c r="A605" s="5">
        <v>2026</v>
      </c>
      <c r="B605" s="2" t="s">
        <v>91</v>
      </c>
      <c r="C605" s="3">
        <v>46348</v>
      </c>
      <c r="D605" s="2" t="s">
        <v>68</v>
      </c>
      <c r="E605" s="2" t="s">
        <v>69</v>
      </c>
      <c r="F605" s="2" t="s">
        <v>74</v>
      </c>
      <c r="G605" s="2" t="s">
        <v>75</v>
      </c>
      <c r="H605" s="4">
        <v>3174</v>
      </c>
      <c r="I605" s="2" t="s">
        <v>72</v>
      </c>
      <c r="J605" s="6" t="s">
        <v>15</v>
      </c>
    </row>
    <row r="606" spans="1:10" x14ac:dyDescent="0.3">
      <c r="A606" s="5">
        <v>2026</v>
      </c>
      <c r="B606" s="2" t="s">
        <v>91</v>
      </c>
      <c r="C606" s="3">
        <v>46350</v>
      </c>
      <c r="D606" s="2" t="s">
        <v>68</v>
      </c>
      <c r="E606" s="2" t="s">
        <v>69</v>
      </c>
      <c r="F606" s="2" t="s">
        <v>52</v>
      </c>
      <c r="G606" s="2" t="s">
        <v>52</v>
      </c>
      <c r="H606" s="4">
        <v>1764</v>
      </c>
      <c r="I606" s="2" t="s">
        <v>72</v>
      </c>
      <c r="J606" s="6" t="s">
        <v>15</v>
      </c>
    </row>
    <row r="607" spans="1:10" x14ac:dyDescent="0.3">
      <c r="A607" s="5">
        <v>2026</v>
      </c>
      <c r="B607" s="2" t="s">
        <v>93</v>
      </c>
      <c r="C607" s="3">
        <v>46357</v>
      </c>
      <c r="D607" s="2" t="s">
        <v>11</v>
      </c>
      <c r="E607" s="2" t="s">
        <v>12</v>
      </c>
      <c r="F607" s="2" t="s">
        <v>12</v>
      </c>
      <c r="G607" s="2" t="s">
        <v>13</v>
      </c>
      <c r="H607" s="4">
        <v>112500</v>
      </c>
      <c r="I607" s="2" t="s">
        <v>14</v>
      </c>
      <c r="J607" s="6" t="s">
        <v>15</v>
      </c>
    </row>
    <row r="608" spans="1:10" x14ac:dyDescent="0.3">
      <c r="A608" s="5">
        <v>2026</v>
      </c>
      <c r="B608" s="2" t="s">
        <v>93</v>
      </c>
      <c r="C608" s="3">
        <v>46377</v>
      </c>
      <c r="D608" s="2" t="s">
        <v>16</v>
      </c>
      <c r="E608" s="2" t="s">
        <v>17</v>
      </c>
      <c r="F608" s="2" t="s">
        <v>18</v>
      </c>
      <c r="G608" s="2" t="s">
        <v>19</v>
      </c>
      <c r="H608" s="4">
        <v>31386.6</v>
      </c>
      <c r="I608" s="2" t="s">
        <v>28</v>
      </c>
      <c r="J608" s="6" t="s">
        <v>15</v>
      </c>
    </row>
    <row r="609" spans="1:10" x14ac:dyDescent="0.3">
      <c r="A609" s="5">
        <v>2026</v>
      </c>
      <c r="B609" s="2" t="s">
        <v>93</v>
      </c>
      <c r="C609" s="3">
        <v>46375</v>
      </c>
      <c r="D609" s="2" t="s">
        <v>16</v>
      </c>
      <c r="E609" s="2" t="s">
        <v>17</v>
      </c>
      <c r="F609" s="2" t="s">
        <v>21</v>
      </c>
      <c r="G609" s="2" t="s">
        <v>22</v>
      </c>
      <c r="H609" s="4">
        <v>2707.2</v>
      </c>
      <c r="I609" s="2" t="s">
        <v>28</v>
      </c>
      <c r="J609" s="6" t="s">
        <v>15</v>
      </c>
    </row>
    <row r="610" spans="1:10" x14ac:dyDescent="0.3">
      <c r="A610" s="5">
        <v>2026</v>
      </c>
      <c r="B610" s="2" t="s">
        <v>93</v>
      </c>
      <c r="C610" s="3">
        <v>46367</v>
      </c>
      <c r="D610" s="2" t="s">
        <v>16</v>
      </c>
      <c r="E610" s="2" t="s">
        <v>23</v>
      </c>
      <c r="F610" s="2" t="s">
        <v>24</v>
      </c>
      <c r="G610" s="2" t="s">
        <v>51</v>
      </c>
      <c r="H610" s="4">
        <v>10175.4</v>
      </c>
      <c r="I610" s="2" t="s">
        <v>28</v>
      </c>
      <c r="J610" s="6" t="s">
        <v>15</v>
      </c>
    </row>
    <row r="611" spans="1:10" x14ac:dyDescent="0.3">
      <c r="A611" s="5">
        <v>2026</v>
      </c>
      <c r="B611" s="2" t="s">
        <v>93</v>
      </c>
      <c r="C611" s="3">
        <v>46383</v>
      </c>
      <c r="D611" s="2" t="s">
        <v>16</v>
      </c>
      <c r="E611" s="2" t="s">
        <v>23</v>
      </c>
      <c r="F611" s="2" t="s">
        <v>26</v>
      </c>
      <c r="G611" s="2" t="s">
        <v>27</v>
      </c>
      <c r="H611" s="4">
        <v>3885.3</v>
      </c>
      <c r="I611" s="2" t="s">
        <v>14</v>
      </c>
      <c r="J611" s="6" t="s">
        <v>15</v>
      </c>
    </row>
    <row r="612" spans="1:10" x14ac:dyDescent="0.3">
      <c r="A612" s="5">
        <v>2026</v>
      </c>
      <c r="B612" s="2" t="s">
        <v>93</v>
      </c>
      <c r="C612" s="3">
        <v>46378</v>
      </c>
      <c r="D612" s="2" t="s">
        <v>16</v>
      </c>
      <c r="E612" s="2" t="s">
        <v>23</v>
      </c>
      <c r="F612" s="2" t="s">
        <v>29</v>
      </c>
      <c r="G612" s="2" t="s">
        <v>30</v>
      </c>
      <c r="H612" s="4">
        <v>2875.5</v>
      </c>
      <c r="I612" s="2" t="s">
        <v>28</v>
      </c>
      <c r="J612" s="6" t="s">
        <v>15</v>
      </c>
    </row>
    <row r="613" spans="1:10" x14ac:dyDescent="0.3">
      <c r="A613" s="5">
        <v>2026</v>
      </c>
      <c r="B613" s="2" t="s">
        <v>93</v>
      </c>
      <c r="C613" s="3">
        <v>46372</v>
      </c>
      <c r="D613" s="2" t="s">
        <v>16</v>
      </c>
      <c r="E613" s="2" t="s">
        <v>31</v>
      </c>
      <c r="F613" s="2" t="s">
        <v>32</v>
      </c>
      <c r="G613" s="2" t="s">
        <v>92</v>
      </c>
      <c r="H613" s="4">
        <v>3739.5</v>
      </c>
      <c r="I613" s="2" t="s">
        <v>14</v>
      </c>
      <c r="J613" s="6" t="s">
        <v>15</v>
      </c>
    </row>
    <row r="614" spans="1:10" x14ac:dyDescent="0.3">
      <c r="A614" s="5">
        <v>2026</v>
      </c>
      <c r="B614" s="2" t="s">
        <v>93</v>
      </c>
      <c r="C614" s="3">
        <v>46364</v>
      </c>
      <c r="D614" s="2" t="s">
        <v>16</v>
      </c>
      <c r="E614" s="2" t="s">
        <v>31</v>
      </c>
      <c r="F614" s="2" t="s">
        <v>34</v>
      </c>
      <c r="G614" s="2" t="s">
        <v>35</v>
      </c>
      <c r="H614" s="4">
        <v>1383.3</v>
      </c>
      <c r="I614" s="2" t="s">
        <v>14</v>
      </c>
      <c r="J614" s="6" t="s">
        <v>15</v>
      </c>
    </row>
    <row r="615" spans="1:10" x14ac:dyDescent="0.3">
      <c r="A615" s="5">
        <v>2026</v>
      </c>
      <c r="B615" s="2" t="s">
        <v>93</v>
      </c>
      <c r="C615" s="3">
        <v>46363</v>
      </c>
      <c r="D615" s="2" t="s">
        <v>16</v>
      </c>
      <c r="E615" s="2" t="s">
        <v>31</v>
      </c>
      <c r="F615" s="2" t="s">
        <v>36</v>
      </c>
      <c r="G615" s="2" t="s">
        <v>37</v>
      </c>
      <c r="H615" s="4">
        <v>1016.1</v>
      </c>
      <c r="I615" s="2" t="s">
        <v>28</v>
      </c>
      <c r="J615" s="6" t="s">
        <v>15</v>
      </c>
    </row>
    <row r="616" spans="1:10" x14ac:dyDescent="0.3">
      <c r="A616" s="5">
        <v>2026</v>
      </c>
      <c r="B616" s="2" t="s">
        <v>93</v>
      </c>
      <c r="C616" s="3">
        <v>46374</v>
      </c>
      <c r="D616" s="2" t="s">
        <v>16</v>
      </c>
      <c r="E616" s="2" t="s">
        <v>38</v>
      </c>
      <c r="F616" s="2" t="s">
        <v>39</v>
      </c>
      <c r="G616" s="2" t="s">
        <v>40</v>
      </c>
      <c r="H616" s="4">
        <v>2696.4</v>
      </c>
      <c r="I616" s="2" t="s">
        <v>20</v>
      </c>
      <c r="J616" s="6" t="s">
        <v>15</v>
      </c>
    </row>
    <row r="617" spans="1:10" x14ac:dyDescent="0.3">
      <c r="A617" s="5">
        <v>2026</v>
      </c>
      <c r="B617" s="2" t="s">
        <v>93</v>
      </c>
      <c r="C617" s="3">
        <v>46384</v>
      </c>
      <c r="D617" s="2" t="s">
        <v>16</v>
      </c>
      <c r="E617" s="2" t="s">
        <v>38</v>
      </c>
      <c r="F617" s="2" t="s">
        <v>41</v>
      </c>
      <c r="G617" s="2" t="s">
        <v>83</v>
      </c>
      <c r="H617" s="4">
        <v>1120.5</v>
      </c>
      <c r="I617" s="2" t="s">
        <v>14</v>
      </c>
      <c r="J617" s="6" t="s">
        <v>15</v>
      </c>
    </row>
    <row r="618" spans="1:10" x14ac:dyDescent="0.3">
      <c r="A618" s="5">
        <v>2026</v>
      </c>
      <c r="B618" s="2" t="s">
        <v>93</v>
      </c>
      <c r="C618" s="3">
        <v>46367</v>
      </c>
      <c r="D618" s="2" t="s">
        <v>16</v>
      </c>
      <c r="E618" s="2" t="s">
        <v>38</v>
      </c>
      <c r="F618" s="2" t="s">
        <v>43</v>
      </c>
      <c r="G618" s="2" t="s">
        <v>83</v>
      </c>
      <c r="H618" s="4">
        <v>783.9</v>
      </c>
      <c r="I618" s="2" t="s">
        <v>20</v>
      </c>
      <c r="J618" s="6" t="s">
        <v>15</v>
      </c>
    </row>
    <row r="619" spans="1:10" x14ac:dyDescent="0.3">
      <c r="A619" s="5">
        <v>2026</v>
      </c>
      <c r="B619" s="2" t="s">
        <v>93</v>
      </c>
      <c r="C619" s="3">
        <v>46362</v>
      </c>
      <c r="D619" s="2" t="s">
        <v>16</v>
      </c>
      <c r="E619" s="2" t="s">
        <v>38</v>
      </c>
      <c r="F619" s="2" t="s">
        <v>45</v>
      </c>
      <c r="G619" s="2" t="s">
        <v>46</v>
      </c>
      <c r="H619" s="4">
        <v>1102.5</v>
      </c>
      <c r="I619" s="2" t="s">
        <v>20</v>
      </c>
      <c r="J619" s="6" t="s">
        <v>15</v>
      </c>
    </row>
    <row r="620" spans="1:10" x14ac:dyDescent="0.3">
      <c r="A620" s="5">
        <v>2026</v>
      </c>
      <c r="B620" s="2" t="s">
        <v>93</v>
      </c>
      <c r="C620" s="3">
        <v>46365</v>
      </c>
      <c r="D620" s="2" t="s">
        <v>16</v>
      </c>
      <c r="E620" s="2" t="s">
        <v>47</v>
      </c>
      <c r="F620" s="2" t="s">
        <v>48</v>
      </c>
      <c r="G620" s="2" t="s">
        <v>84</v>
      </c>
      <c r="H620" s="4">
        <v>2266.1999999999998</v>
      </c>
      <c r="I620" s="2" t="s">
        <v>14</v>
      </c>
      <c r="J620" s="6" t="s">
        <v>15</v>
      </c>
    </row>
    <row r="621" spans="1:10" x14ac:dyDescent="0.3">
      <c r="A621" s="5">
        <v>2026</v>
      </c>
      <c r="B621" s="2" t="s">
        <v>93</v>
      </c>
      <c r="C621" s="3">
        <v>46382</v>
      </c>
      <c r="D621" s="2" t="s">
        <v>16</v>
      </c>
      <c r="E621" s="2" t="s">
        <v>47</v>
      </c>
      <c r="F621" s="2" t="s">
        <v>50</v>
      </c>
      <c r="G621" s="2" t="s">
        <v>85</v>
      </c>
      <c r="H621" s="4">
        <v>1784.7</v>
      </c>
      <c r="I621" s="2" t="s">
        <v>28</v>
      </c>
      <c r="J621" s="6" t="s">
        <v>15</v>
      </c>
    </row>
    <row r="622" spans="1:10" x14ac:dyDescent="0.3">
      <c r="A622" s="5">
        <v>2026</v>
      </c>
      <c r="B622" s="2" t="s">
        <v>93</v>
      </c>
      <c r="C622" s="3">
        <v>46371</v>
      </c>
      <c r="D622" s="2" t="s">
        <v>16</v>
      </c>
      <c r="E622" s="2" t="s">
        <v>52</v>
      </c>
      <c r="F622" s="2" t="s">
        <v>53</v>
      </c>
      <c r="G622" s="2" t="s">
        <v>86</v>
      </c>
      <c r="H622" s="4">
        <v>1043.0999999999999</v>
      </c>
      <c r="I622" s="2" t="s">
        <v>14</v>
      </c>
      <c r="J622" s="6" t="s">
        <v>15</v>
      </c>
    </row>
    <row r="623" spans="1:10" x14ac:dyDescent="0.3">
      <c r="A623" s="5">
        <v>2026</v>
      </c>
      <c r="B623" s="2" t="s">
        <v>93</v>
      </c>
      <c r="C623" s="3">
        <v>46380</v>
      </c>
      <c r="D623" s="2" t="s">
        <v>16</v>
      </c>
      <c r="E623" s="2" t="s">
        <v>52</v>
      </c>
      <c r="F623" s="2" t="s">
        <v>55</v>
      </c>
      <c r="G623" s="2" t="s">
        <v>87</v>
      </c>
      <c r="H623" s="4">
        <v>829.8</v>
      </c>
      <c r="I623" s="2" t="s">
        <v>28</v>
      </c>
      <c r="J623" s="6" t="s">
        <v>15</v>
      </c>
    </row>
    <row r="624" spans="1:10" x14ac:dyDescent="0.3">
      <c r="A624" s="5">
        <v>2026</v>
      </c>
      <c r="B624" s="2" t="s">
        <v>93</v>
      </c>
      <c r="C624" s="3">
        <v>46370</v>
      </c>
      <c r="D624" s="2" t="s">
        <v>16</v>
      </c>
      <c r="E624" s="2" t="s">
        <v>52</v>
      </c>
      <c r="F624" s="2" t="s">
        <v>57</v>
      </c>
      <c r="G624" s="2" t="s">
        <v>58</v>
      </c>
      <c r="H624" s="4">
        <v>771.3</v>
      </c>
      <c r="I624" s="2" t="s">
        <v>20</v>
      </c>
      <c r="J624" s="6" t="s">
        <v>15</v>
      </c>
    </row>
    <row r="625" spans="1:10" x14ac:dyDescent="0.3">
      <c r="A625" s="5">
        <v>2026</v>
      </c>
      <c r="B625" s="2" t="s">
        <v>93</v>
      </c>
      <c r="C625" s="3">
        <v>46378</v>
      </c>
      <c r="D625" s="2" t="s">
        <v>16</v>
      </c>
      <c r="E625" s="2" t="s">
        <v>52</v>
      </c>
      <c r="F625" s="2" t="s">
        <v>59</v>
      </c>
      <c r="G625" s="2" t="s">
        <v>60</v>
      </c>
      <c r="H625" s="4">
        <v>798.3</v>
      </c>
      <c r="I625" s="2" t="s">
        <v>20</v>
      </c>
      <c r="J625" s="6" t="s">
        <v>15</v>
      </c>
    </row>
    <row r="626" spans="1:10" x14ac:dyDescent="0.3">
      <c r="A626" s="5">
        <v>2026</v>
      </c>
      <c r="B626" s="2" t="s">
        <v>93</v>
      </c>
      <c r="C626" s="3">
        <v>46382</v>
      </c>
      <c r="D626" s="2" t="s">
        <v>16</v>
      </c>
      <c r="E626" s="2" t="s">
        <v>61</v>
      </c>
      <c r="F626" s="2" t="s">
        <v>62</v>
      </c>
      <c r="G626" s="2" t="s">
        <v>63</v>
      </c>
      <c r="H626" s="4">
        <v>2802.6</v>
      </c>
      <c r="I626" s="2" t="s">
        <v>20</v>
      </c>
      <c r="J626" s="6" t="s">
        <v>15</v>
      </c>
    </row>
    <row r="627" spans="1:10" x14ac:dyDescent="0.3">
      <c r="A627" s="5">
        <v>2026</v>
      </c>
      <c r="B627" s="2" t="s">
        <v>93</v>
      </c>
      <c r="C627" s="3">
        <v>46363</v>
      </c>
      <c r="D627" s="2" t="s">
        <v>16</v>
      </c>
      <c r="E627" s="2" t="s">
        <v>61</v>
      </c>
      <c r="F627" s="2" t="s">
        <v>64</v>
      </c>
      <c r="G627" s="2" t="s">
        <v>63</v>
      </c>
      <c r="H627" s="4">
        <v>3363.3</v>
      </c>
      <c r="I627" s="2" t="s">
        <v>20</v>
      </c>
      <c r="J627" s="6" t="s">
        <v>15</v>
      </c>
    </row>
    <row r="628" spans="1:10" x14ac:dyDescent="0.3">
      <c r="A628" s="5">
        <v>2026</v>
      </c>
      <c r="B628" s="2" t="s">
        <v>93</v>
      </c>
      <c r="C628" s="3">
        <v>46375</v>
      </c>
      <c r="D628" s="2" t="s">
        <v>16</v>
      </c>
      <c r="E628" s="2" t="s">
        <v>65</v>
      </c>
      <c r="F628" s="2" t="s">
        <v>66</v>
      </c>
      <c r="G628" s="2" t="s">
        <v>67</v>
      </c>
      <c r="H628" s="4">
        <v>9528.2999999999993</v>
      </c>
      <c r="I628" s="2" t="s">
        <v>20</v>
      </c>
      <c r="J628" s="6" t="s">
        <v>15</v>
      </c>
    </row>
    <row r="629" spans="1:10" x14ac:dyDescent="0.3">
      <c r="A629" s="5">
        <v>2026</v>
      </c>
      <c r="B629" s="2" t="s">
        <v>93</v>
      </c>
      <c r="C629" s="3">
        <v>46373</v>
      </c>
      <c r="D629" s="2" t="s">
        <v>68</v>
      </c>
      <c r="E629" s="2" t="s">
        <v>69</v>
      </c>
      <c r="F629" s="2" t="s">
        <v>70</v>
      </c>
      <c r="G629" s="2" t="s">
        <v>71</v>
      </c>
      <c r="H629" s="4">
        <v>9680</v>
      </c>
      <c r="I629" s="2" t="s">
        <v>72</v>
      </c>
      <c r="J629" s="6" t="s">
        <v>15</v>
      </c>
    </row>
    <row r="630" spans="1:10" x14ac:dyDescent="0.3">
      <c r="A630" s="5">
        <v>2026</v>
      </c>
      <c r="B630" s="2" t="s">
        <v>93</v>
      </c>
      <c r="C630" s="3">
        <v>46373</v>
      </c>
      <c r="D630" s="2" t="s">
        <v>68</v>
      </c>
      <c r="E630" s="2" t="s">
        <v>69</v>
      </c>
      <c r="F630" s="2" t="s">
        <v>73</v>
      </c>
      <c r="G630" s="2" t="s">
        <v>71</v>
      </c>
      <c r="H630" s="4">
        <v>6050</v>
      </c>
      <c r="I630" s="2" t="s">
        <v>72</v>
      </c>
      <c r="J630" s="6" t="s">
        <v>15</v>
      </c>
    </row>
    <row r="631" spans="1:10" x14ac:dyDescent="0.3">
      <c r="A631" s="5">
        <v>2026</v>
      </c>
      <c r="B631" s="2" t="s">
        <v>93</v>
      </c>
      <c r="C631" s="3">
        <v>46383</v>
      </c>
      <c r="D631" s="2" t="s">
        <v>68</v>
      </c>
      <c r="E631" s="2" t="s">
        <v>69</v>
      </c>
      <c r="F631" s="2" t="s">
        <v>74</v>
      </c>
      <c r="G631" s="2" t="s">
        <v>75</v>
      </c>
      <c r="H631" s="4">
        <v>3630</v>
      </c>
      <c r="I631" s="2" t="s">
        <v>72</v>
      </c>
      <c r="J631" s="6" t="s">
        <v>15</v>
      </c>
    </row>
    <row r="632" spans="1:10" x14ac:dyDescent="0.3">
      <c r="A632" s="10">
        <v>2026</v>
      </c>
      <c r="B632" s="11" t="s">
        <v>93</v>
      </c>
      <c r="C632" s="12">
        <v>46378</v>
      </c>
      <c r="D632" s="11" t="s">
        <v>68</v>
      </c>
      <c r="E632" s="11" t="s">
        <v>69</v>
      </c>
      <c r="F632" s="11" t="s">
        <v>76</v>
      </c>
      <c r="G632" s="11" t="s">
        <v>77</v>
      </c>
      <c r="H632" s="13">
        <v>2017</v>
      </c>
      <c r="I632" s="11" t="s">
        <v>72</v>
      </c>
      <c r="J632" s="14" t="s">
        <v>15</v>
      </c>
    </row>
  </sheetData>
  <sheetProtection pivotTables="0"/>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1C4F-4B02-43B2-B104-E8F64A999832}">
  <sheetPr codeName="Sheet3"/>
  <dimension ref="B8:S32"/>
  <sheetViews>
    <sheetView showGridLines="0" workbookViewId="0"/>
  </sheetViews>
  <sheetFormatPr defaultRowHeight="14.4" x14ac:dyDescent="0.3"/>
  <cols>
    <col min="1" max="1" width="13.5546875" style="15" bestFit="1" customWidth="1"/>
    <col min="2" max="2" width="12.6640625" style="15" bestFit="1" customWidth="1"/>
    <col min="3" max="3" width="15" style="15" bestFit="1" customWidth="1"/>
    <col min="4" max="5" width="10.109375" style="35" bestFit="1" customWidth="1"/>
    <col min="6" max="6" width="12" style="35" bestFit="1" customWidth="1"/>
    <col min="7" max="7" width="21.5546875" style="35" bestFit="1" customWidth="1"/>
    <col min="8" max="8" width="12" style="35" bestFit="1" customWidth="1"/>
    <col min="9" max="9" width="9.77734375" style="35" bestFit="1" customWidth="1"/>
    <col min="10" max="10" width="10.44140625" style="35" bestFit="1" customWidth="1"/>
    <col min="11" max="11" width="4.88671875" style="35" customWidth="1"/>
    <col min="12" max="12" width="12.6640625" style="35" bestFit="1" customWidth="1"/>
    <col min="13" max="13" width="10.44140625" style="35" bestFit="1" customWidth="1"/>
    <col min="14" max="14" width="3.77734375" style="35" bestFit="1" customWidth="1"/>
    <col min="15" max="15" width="12.6640625" style="35" bestFit="1" customWidth="1"/>
    <col min="16" max="16" width="9.88671875" style="35" bestFit="1" customWidth="1"/>
    <col min="17" max="17" width="4.109375" style="35" customWidth="1"/>
    <col min="18" max="18" width="13.6640625" style="35" bestFit="1" customWidth="1"/>
    <col min="19" max="19" width="12" style="35" bestFit="1" customWidth="1"/>
    <col min="20" max="16384" width="8.88671875" style="15"/>
  </cols>
  <sheetData>
    <row r="8" spans="2:8" hidden="1" x14ac:dyDescent="0.3"/>
    <row r="9" spans="2:8" hidden="1" x14ac:dyDescent="0.3"/>
    <row r="10" spans="2:8" hidden="1" x14ac:dyDescent="0.3"/>
    <row r="11" spans="2:8" x14ac:dyDescent="0.3">
      <c r="B11" s="67" t="s">
        <v>129</v>
      </c>
      <c r="C11" s="68" t="s">
        <v>130</v>
      </c>
      <c r="D11" s="67" t="s">
        <v>131</v>
      </c>
      <c r="E11" s="68" t="s">
        <v>132</v>
      </c>
      <c r="F11" s="67" t="s">
        <v>133</v>
      </c>
      <c r="G11" s="68" t="s">
        <v>134</v>
      </c>
      <c r="H11" s="67" t="s">
        <v>135</v>
      </c>
    </row>
    <row r="12" spans="2:8" x14ac:dyDescent="0.3">
      <c r="B12" s="52">
        <v>1</v>
      </c>
      <c r="C12" s="53" t="s">
        <v>136</v>
      </c>
      <c r="D12" s="75">
        <v>100000</v>
      </c>
      <c r="E12" s="53">
        <v>75000</v>
      </c>
      <c r="F12" s="71">
        <f>IFERROR(E12/D12,"")</f>
        <v>0.75</v>
      </c>
      <c r="G12" s="53" t="str">
        <f>IF(D12="","","Rs"&amp;TEXT(E12,"##,##,##0")&amp;" / Rs"&amp;TEXT(D12,"##,##,##0"))</f>
        <v>Rs75,000 / Rs1,00,000</v>
      </c>
      <c r="H12" s="71">
        <f>E12/E$21</f>
        <v>0.16853932584269662</v>
      </c>
    </row>
    <row r="13" spans="2:8" x14ac:dyDescent="0.3">
      <c r="B13" s="54">
        <v>2</v>
      </c>
      <c r="C13" s="55" t="s">
        <v>137</v>
      </c>
      <c r="D13" s="76">
        <v>75000</v>
      </c>
      <c r="E13" s="55">
        <v>40000</v>
      </c>
      <c r="F13" s="72">
        <f t="shared" ref="F13:F20" si="0">IFERROR(E13/D13,"")</f>
        <v>0.53333333333333333</v>
      </c>
      <c r="G13" s="55" t="str">
        <f t="shared" ref="G13:G20" si="1">IF(D13="","","Rs"&amp;TEXT(E13,"##,##,##0")&amp;" / Rs"&amp;TEXT(D13,"##,##,##0"))</f>
        <v>Rs40,000 / Rs75,000</v>
      </c>
      <c r="H13" s="72">
        <f t="shared" ref="H13:H20" si="2">E13/E$21</f>
        <v>8.98876404494382E-2</v>
      </c>
    </row>
    <row r="14" spans="2:8" x14ac:dyDescent="0.3">
      <c r="B14" s="54">
        <v>3</v>
      </c>
      <c r="C14" s="56" t="s">
        <v>138</v>
      </c>
      <c r="D14" s="76">
        <v>500000</v>
      </c>
      <c r="E14" s="56">
        <v>120000</v>
      </c>
      <c r="F14" s="72">
        <f t="shared" si="0"/>
        <v>0.24</v>
      </c>
      <c r="G14" s="56" t="str">
        <f t="shared" si="1"/>
        <v>Rs1,20,000 / Rs5,00,000</v>
      </c>
      <c r="H14" s="72">
        <f t="shared" si="2"/>
        <v>0.2696629213483146</v>
      </c>
    </row>
    <row r="15" spans="2:8" x14ac:dyDescent="0.3">
      <c r="B15" s="54">
        <v>4</v>
      </c>
      <c r="C15" s="57" t="s">
        <v>139</v>
      </c>
      <c r="D15" s="76">
        <v>100000</v>
      </c>
      <c r="E15" s="57">
        <v>210000</v>
      </c>
      <c r="F15" s="72">
        <f t="shared" si="0"/>
        <v>2.1</v>
      </c>
      <c r="G15" s="57" t="str">
        <f t="shared" si="1"/>
        <v>Rs2,10,000 / Rs1,00,000</v>
      </c>
      <c r="H15" s="72">
        <f t="shared" si="2"/>
        <v>0.47191011235955055</v>
      </c>
    </row>
    <row r="16" spans="2:8" x14ac:dyDescent="0.3">
      <c r="B16" s="58">
        <v>5</v>
      </c>
      <c r="C16" s="59"/>
      <c r="D16" s="77"/>
      <c r="E16" s="59"/>
      <c r="F16" s="73" t="str">
        <f t="shared" si="0"/>
        <v/>
      </c>
      <c r="G16" s="59" t="str">
        <f t="shared" si="1"/>
        <v/>
      </c>
      <c r="H16" s="73"/>
    </row>
    <row r="17" spans="2:8" x14ac:dyDescent="0.3">
      <c r="B17" s="65">
        <v>6</v>
      </c>
      <c r="C17" s="66"/>
      <c r="D17" s="78"/>
      <c r="E17" s="66"/>
      <c r="F17" s="74" t="str">
        <f t="shared" si="0"/>
        <v/>
      </c>
      <c r="G17" s="66" t="str">
        <f t="shared" si="1"/>
        <v/>
      </c>
      <c r="H17" s="74"/>
    </row>
    <row r="18" spans="2:8" x14ac:dyDescent="0.3">
      <c r="B18" s="52">
        <v>7</v>
      </c>
      <c r="C18" s="53"/>
      <c r="D18" s="75"/>
      <c r="E18" s="53"/>
      <c r="F18" s="71" t="str">
        <f t="shared" si="0"/>
        <v/>
      </c>
      <c r="G18" s="53" t="str">
        <f t="shared" si="1"/>
        <v/>
      </c>
      <c r="H18" s="71"/>
    </row>
    <row r="19" spans="2:8" x14ac:dyDescent="0.3">
      <c r="B19" s="54">
        <v>8</v>
      </c>
      <c r="C19" s="55"/>
      <c r="D19" s="76"/>
      <c r="E19" s="55"/>
      <c r="F19" s="72" t="str">
        <f t="shared" si="0"/>
        <v/>
      </c>
      <c r="G19" s="55" t="str">
        <f t="shared" si="1"/>
        <v/>
      </c>
      <c r="H19" s="72"/>
    </row>
    <row r="20" spans="2:8" x14ac:dyDescent="0.3">
      <c r="B20" s="54">
        <v>9</v>
      </c>
      <c r="C20" s="56"/>
      <c r="D20" s="76"/>
      <c r="E20" s="56"/>
      <c r="F20" s="72" t="str">
        <f t="shared" si="0"/>
        <v/>
      </c>
      <c r="G20" s="56" t="str">
        <f t="shared" si="1"/>
        <v/>
      </c>
      <c r="H20" s="54"/>
    </row>
    <row r="21" spans="2:8" x14ac:dyDescent="0.3">
      <c r="B21" s="69">
        <v>10</v>
      </c>
      <c r="C21" s="70" t="s">
        <v>104</v>
      </c>
      <c r="D21" s="79">
        <f>SUM(D12:D20)</f>
        <v>775000</v>
      </c>
      <c r="E21" s="70">
        <f>SUM(E12:E20)</f>
        <v>445000</v>
      </c>
      <c r="F21" s="69"/>
      <c r="G21" s="70"/>
      <c r="H21" s="69"/>
    </row>
    <row r="22" spans="2:8" x14ac:dyDescent="0.3">
      <c r="C22" s="17"/>
    </row>
    <row r="25" spans="2:8" x14ac:dyDescent="0.3">
      <c r="B25" s="33" t="s">
        <v>17</v>
      </c>
      <c r="C25" s="31" t="s">
        <v>119</v>
      </c>
    </row>
    <row r="26" spans="2:8" x14ac:dyDescent="0.3">
      <c r="B26" s="33" t="s">
        <v>23</v>
      </c>
      <c r="C26" s="31" t="s">
        <v>120</v>
      </c>
    </row>
    <row r="27" spans="2:8" x14ac:dyDescent="0.3">
      <c r="B27" s="33" t="s">
        <v>65</v>
      </c>
      <c r="C27" s="31" t="s">
        <v>121</v>
      </c>
    </row>
    <row r="28" spans="2:8" x14ac:dyDescent="0.3">
      <c r="B28" s="33" t="s">
        <v>31</v>
      </c>
      <c r="C28" s="31" t="s">
        <v>122</v>
      </c>
    </row>
    <row r="29" spans="2:8" x14ac:dyDescent="0.3">
      <c r="B29" s="33" t="s">
        <v>61</v>
      </c>
      <c r="C29" s="31" t="s">
        <v>123</v>
      </c>
    </row>
    <row r="30" spans="2:8" x14ac:dyDescent="0.3">
      <c r="B30" s="33" t="s">
        <v>38</v>
      </c>
      <c r="C30" s="31" t="s">
        <v>126</v>
      </c>
    </row>
    <row r="31" spans="2:8" x14ac:dyDescent="0.3">
      <c r="B31" s="33" t="s">
        <v>47</v>
      </c>
      <c r="C31" s="31" t="s">
        <v>124</v>
      </c>
    </row>
    <row r="32" spans="2:8" x14ac:dyDescent="0.3">
      <c r="B32" s="33" t="s">
        <v>52</v>
      </c>
      <c r="C32" s="31" t="s">
        <v>125</v>
      </c>
    </row>
  </sheetData>
  <sheetProtection pivotTables="0"/>
  <conditionalFormatting sqref="C22">
    <cfRule type="cellIs" dxfId="3" priority="6" operator="equal">
      <formula>"Bad"</formula>
    </cfRule>
    <cfRule type="cellIs" dxfId="2" priority="7" operator="equal">
      <formula>"Good"</formula>
    </cfRule>
  </conditionalFormatting>
  <conditionalFormatting sqref="F12:F15">
    <cfRule type="colorScale" priority="2">
      <colorScale>
        <cfvo type="min"/>
        <cfvo type="max"/>
        <color rgb="FFFCFCFF"/>
        <color rgb="FF63BE7B"/>
      </colorScale>
    </cfRule>
  </conditionalFormatting>
  <conditionalFormatting sqref="H12:H15">
    <cfRule type="colorScale" priority="1">
      <colorScale>
        <cfvo type="min"/>
        <cfvo type="max"/>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0DCA-4BBF-4BF4-AD35-EF59C0B217A9}">
  <sheetPr codeName="Sheet4"/>
  <dimension ref="A8:S42"/>
  <sheetViews>
    <sheetView tabSelected="1" topLeftCell="E1" workbookViewId="0">
      <selection activeCell="P23" sqref="P23"/>
    </sheetView>
  </sheetViews>
  <sheetFormatPr defaultRowHeight="14.4" x14ac:dyDescent="0.3"/>
  <cols>
    <col min="1" max="1" width="13.5546875" style="15" hidden="1" customWidth="1"/>
    <col min="2" max="2" width="15" style="15" hidden="1" customWidth="1"/>
    <col min="3" max="3" width="13.77734375" style="15" hidden="1" customWidth="1"/>
    <col min="4" max="4" width="9.77734375" style="15" hidden="1" customWidth="1"/>
    <col min="5" max="5" width="10.44140625" style="15" bestFit="1" customWidth="1"/>
    <col min="6" max="6" width="13.5546875" style="15" bestFit="1" customWidth="1"/>
    <col min="7" max="7" width="9.44140625" style="15" bestFit="1" customWidth="1"/>
    <col min="8" max="8" width="10.44140625" style="15" bestFit="1" customWidth="1"/>
    <col min="9" max="9" width="9.77734375" style="15" bestFit="1" customWidth="1"/>
    <col min="10" max="10" width="10.44140625" style="15" bestFit="1" customWidth="1"/>
    <col min="11" max="11" width="4.88671875" style="15" customWidth="1"/>
    <col min="12" max="12" width="12.6640625" style="15" bestFit="1" customWidth="1"/>
    <col min="13" max="13" width="10.44140625" style="15" bestFit="1" customWidth="1"/>
    <col min="14" max="14" width="3.77734375" style="16" bestFit="1" customWidth="1"/>
    <col min="15" max="15" width="12.6640625" style="15" bestFit="1" customWidth="1"/>
    <col min="16" max="16" width="9.88671875" style="15" bestFit="1" customWidth="1"/>
    <col min="17" max="17" width="4.109375" style="15" customWidth="1"/>
    <col min="18" max="18" width="10.77734375" style="15" bestFit="1" customWidth="1"/>
    <col min="19" max="19" width="12" style="15" bestFit="1" customWidth="1"/>
    <col min="20" max="16384" width="8.88671875" style="15"/>
  </cols>
  <sheetData>
    <row r="8" spans="2:19" hidden="1" x14ac:dyDescent="0.3"/>
    <row r="9" spans="2:19" ht="25.2" hidden="1" customHeight="1" x14ac:dyDescent="0.3">
      <c r="L9" s="22" t="s">
        <v>3</v>
      </c>
      <c r="M9" s="22" t="s">
        <v>16</v>
      </c>
      <c r="N9" s="16" t="str">
        <f>IFERROR(VLOOKUP(O12,B25:C32,2,0),"")</f>
        <v>🏠</v>
      </c>
      <c r="O9" s="22" t="s">
        <v>3</v>
      </c>
      <c r="P9" s="22" t="s">
        <v>16</v>
      </c>
      <c r="R9" s="22" t="s">
        <v>3</v>
      </c>
      <c r="S9" s="22" t="s">
        <v>68</v>
      </c>
    </row>
    <row r="10" spans="2:19" ht="42.6" hidden="1" customHeight="1" x14ac:dyDescent="0.3">
      <c r="N10" s="16" t="str">
        <f t="shared" ref="N10:N14" si="0">IFERROR(VLOOKUP(O13,B26:C33,2,0),"")</f>
        <v>😋</v>
      </c>
    </row>
    <row r="11" spans="2:19" x14ac:dyDescent="0.3">
      <c r="B11" s="60" t="s">
        <v>112</v>
      </c>
      <c r="C11" s="61" t="s">
        <v>113</v>
      </c>
      <c r="F11" s="46" t="s">
        <v>106</v>
      </c>
      <c r="G11" s="36" t="s">
        <v>127</v>
      </c>
      <c r="H11" s="36"/>
      <c r="I11" s="36"/>
      <c r="J11" s="36"/>
      <c r="L11" s="32" t="s">
        <v>4</v>
      </c>
      <c r="M11" s="32" t="s">
        <v>110</v>
      </c>
      <c r="N11" s="16" t="str">
        <f t="shared" si="0"/>
        <v>💰</v>
      </c>
      <c r="O11" s="32" t="s">
        <v>4</v>
      </c>
      <c r="P11" s="32" t="s">
        <v>109</v>
      </c>
      <c r="R11" s="83" t="s">
        <v>3</v>
      </c>
      <c r="S11" s="32" t="s">
        <v>111</v>
      </c>
    </row>
    <row r="12" spans="2:19" x14ac:dyDescent="0.3">
      <c r="B12" s="52" t="s">
        <v>114</v>
      </c>
      <c r="C12" s="53">
        <f>GETPIVOTDATA("Amount",$F$11,"Type","Income")</f>
        <v>1399063</v>
      </c>
      <c r="F12" s="32" t="s">
        <v>1</v>
      </c>
      <c r="G12" s="43" t="s">
        <v>16</v>
      </c>
      <c r="H12" s="44" t="s">
        <v>11</v>
      </c>
      <c r="I12" s="45" t="s">
        <v>68</v>
      </c>
      <c r="J12" s="32" t="s">
        <v>104</v>
      </c>
      <c r="L12" s="47" t="s">
        <v>17</v>
      </c>
      <c r="M12" s="29">
        <v>0.4053789125429873</v>
      </c>
      <c r="N12" s="16" t="str">
        <f t="shared" si="0"/>
        <v>🚌</v>
      </c>
      <c r="O12" s="47" t="s">
        <v>17</v>
      </c>
      <c r="P12" s="28">
        <v>380013.3</v>
      </c>
      <c r="R12" s="23" t="s">
        <v>52</v>
      </c>
      <c r="S12" s="24">
        <v>1.2521506760867213E-2</v>
      </c>
    </row>
    <row r="13" spans="2:19" x14ac:dyDescent="0.3">
      <c r="B13" s="54" t="s">
        <v>115</v>
      </c>
      <c r="C13" s="55">
        <f>GETPIVOTDATA("Amount",$F$11,"Type","Expense")</f>
        <v>937427.40000000014</v>
      </c>
      <c r="F13" s="84" t="s">
        <v>94</v>
      </c>
      <c r="G13" s="37">
        <v>53428.500000000015</v>
      </c>
      <c r="H13" s="38">
        <v>86852</v>
      </c>
      <c r="I13" s="38">
        <v>15036</v>
      </c>
      <c r="J13" s="39">
        <v>155316.5</v>
      </c>
      <c r="L13" s="47" t="s">
        <v>23</v>
      </c>
      <c r="M13" s="29">
        <v>0.1725195999178176</v>
      </c>
      <c r="N13" s="16" t="str">
        <f t="shared" si="0"/>
        <v>🪙</v>
      </c>
      <c r="O13" s="47" t="s">
        <v>23</v>
      </c>
      <c r="P13" s="28">
        <v>161724.59999999998</v>
      </c>
      <c r="R13" s="23" t="s">
        <v>76</v>
      </c>
      <c r="S13" s="24">
        <v>8.2694195320576702E-2</v>
      </c>
    </row>
    <row r="14" spans="2:19" x14ac:dyDescent="0.3">
      <c r="B14" s="54" t="s">
        <v>116</v>
      </c>
      <c r="C14" s="56">
        <f>C12-C13</f>
        <v>461635.59999999986</v>
      </c>
      <c r="F14" s="85" t="s">
        <v>96</v>
      </c>
      <c r="G14" s="40">
        <v>74763.000000000015</v>
      </c>
      <c r="H14" s="41">
        <v>114001</v>
      </c>
      <c r="I14" s="41">
        <v>21830</v>
      </c>
      <c r="J14" s="42">
        <v>210594</v>
      </c>
      <c r="L14" s="47" t="s">
        <v>65</v>
      </c>
      <c r="M14" s="30">
        <v>0.10916909405464359</v>
      </c>
      <c r="N14" s="16" t="str">
        <f t="shared" si="0"/>
        <v/>
      </c>
      <c r="O14" s="47" t="s">
        <v>65</v>
      </c>
      <c r="P14" s="28">
        <v>102338.1</v>
      </c>
      <c r="R14" s="23" t="s">
        <v>74</v>
      </c>
      <c r="S14" s="24">
        <v>0.16887425869321002</v>
      </c>
    </row>
    <row r="15" spans="2:19" x14ac:dyDescent="0.3">
      <c r="B15" s="54" t="s">
        <v>69</v>
      </c>
      <c r="C15" s="57">
        <f>GETPIVOTDATA("Amount",$F$11,"Type","Investment")</f>
        <v>267939</v>
      </c>
      <c r="F15" s="85" t="s">
        <v>97</v>
      </c>
      <c r="G15" s="40">
        <v>82333.799999999988</v>
      </c>
      <c r="H15" s="41">
        <v>125768</v>
      </c>
      <c r="I15" s="41">
        <v>23981</v>
      </c>
      <c r="J15" s="42">
        <v>232082.8</v>
      </c>
      <c r="L15" s="47" t="s">
        <v>31</v>
      </c>
      <c r="M15" s="30">
        <v>7.1620586298202907E-2</v>
      </c>
      <c r="O15" s="47" t="s">
        <v>31</v>
      </c>
      <c r="P15" s="28">
        <v>67139.099999999977</v>
      </c>
      <c r="R15" s="23" t="s">
        <v>73</v>
      </c>
      <c r="S15" s="24">
        <v>0.28559112335270342</v>
      </c>
    </row>
    <row r="16" spans="2:19" x14ac:dyDescent="0.3">
      <c r="B16" s="58" t="s">
        <v>117</v>
      </c>
      <c r="C16" s="59">
        <f>C15+C14</f>
        <v>729574.59999999986</v>
      </c>
      <c r="F16" s="85" t="s">
        <v>99</v>
      </c>
      <c r="G16" s="40">
        <v>65802.599999999991</v>
      </c>
      <c r="H16" s="41">
        <v>100320</v>
      </c>
      <c r="I16" s="41">
        <v>19211</v>
      </c>
      <c r="J16" s="42">
        <v>185333.59999999998</v>
      </c>
      <c r="L16" s="47" t="s">
        <v>61</v>
      </c>
      <c r="M16" s="30">
        <v>7.0653791429608315E-2</v>
      </c>
      <c r="O16" s="47" t="s">
        <v>61</v>
      </c>
      <c r="P16" s="28">
        <v>66232.800000000003</v>
      </c>
      <c r="R16" s="23" t="s">
        <v>70</v>
      </c>
      <c r="S16" s="24">
        <v>0.45031891587264267</v>
      </c>
    </row>
    <row r="17" spans="2:19" x14ac:dyDescent="0.3">
      <c r="B17" s="64"/>
      <c r="C17" s="64"/>
      <c r="F17" s="85" t="s">
        <v>100</v>
      </c>
      <c r="G17" s="40">
        <v>61731.899999999994</v>
      </c>
      <c r="H17" s="41">
        <v>97536</v>
      </c>
      <c r="I17" s="41">
        <v>16691</v>
      </c>
      <c r="J17" s="42">
        <v>175958.9</v>
      </c>
      <c r="L17" s="47" t="s">
        <v>38</v>
      </c>
      <c r="M17" s="30">
        <v>6.5343620209949049E-2</v>
      </c>
      <c r="O17" s="49" t="s">
        <v>104</v>
      </c>
      <c r="P17" s="50">
        <v>777447.9</v>
      </c>
      <c r="R17" s="49" t="s">
        <v>104</v>
      </c>
      <c r="S17" s="82">
        <v>1</v>
      </c>
    </row>
    <row r="18" spans="2:19" x14ac:dyDescent="0.3">
      <c r="B18" s="62" t="s">
        <v>114</v>
      </c>
      <c r="C18" s="63">
        <f>C12</f>
        <v>1399063</v>
      </c>
      <c r="F18" s="85" t="s">
        <v>10</v>
      </c>
      <c r="G18" s="40">
        <v>68711.399999999994</v>
      </c>
      <c r="H18" s="41">
        <v>104735</v>
      </c>
      <c r="I18" s="41">
        <v>20058</v>
      </c>
      <c r="J18" s="42">
        <v>193504.4</v>
      </c>
      <c r="L18" s="47" t="s">
        <v>47</v>
      </c>
      <c r="M18" s="30">
        <v>5.6533977991255639E-2</v>
      </c>
    </row>
    <row r="19" spans="2:19" x14ac:dyDescent="0.3">
      <c r="B19" s="25" t="s">
        <v>116</v>
      </c>
      <c r="C19" s="26">
        <f>C14</f>
        <v>461635.59999999986</v>
      </c>
      <c r="F19" s="85" t="s">
        <v>78</v>
      </c>
      <c r="G19" s="40">
        <v>75638.700000000026</v>
      </c>
      <c r="H19" s="41">
        <v>114566</v>
      </c>
      <c r="I19" s="41">
        <v>22031</v>
      </c>
      <c r="J19" s="42">
        <v>212235.7</v>
      </c>
      <c r="L19" s="47" t="s">
        <v>52</v>
      </c>
      <c r="M19" s="30">
        <v>4.8780417555535513E-2</v>
      </c>
    </row>
    <row r="20" spans="2:19" x14ac:dyDescent="0.3">
      <c r="B20" s="25" t="s">
        <v>118</v>
      </c>
      <c r="C20" s="27">
        <f>C19/C18</f>
        <v>0.32996055216955911</v>
      </c>
      <c r="F20" s="85" t="s">
        <v>88</v>
      </c>
      <c r="G20" s="40">
        <v>84410.1</v>
      </c>
      <c r="H20" s="41">
        <v>128249</v>
      </c>
      <c r="I20" s="41">
        <v>26473</v>
      </c>
      <c r="J20" s="42">
        <v>239132.1</v>
      </c>
      <c r="L20" s="49" t="s">
        <v>104</v>
      </c>
      <c r="M20" s="51">
        <v>1</v>
      </c>
    </row>
    <row r="21" spans="2:19" x14ac:dyDescent="0.3">
      <c r="F21" s="85" t="s">
        <v>89</v>
      </c>
      <c r="G21" s="40">
        <v>77162.39999999998</v>
      </c>
      <c r="H21" s="41">
        <v>117857</v>
      </c>
      <c r="I21" s="41">
        <v>22473</v>
      </c>
      <c r="J21" s="42">
        <v>217492.39999999997</v>
      </c>
    </row>
    <row r="22" spans="2:19" x14ac:dyDescent="0.3">
      <c r="C22" s="17" t="str">
        <f>IF(C20&gt;=30%,"Good","Bad")</f>
        <v>Good</v>
      </c>
      <c r="F22" s="85" t="s">
        <v>90</v>
      </c>
      <c r="G22" s="40">
        <v>83244.60000000002</v>
      </c>
      <c r="H22" s="41">
        <v>124046</v>
      </c>
      <c r="I22" s="41">
        <v>23754</v>
      </c>
      <c r="J22" s="42">
        <v>231044.60000000003</v>
      </c>
    </row>
    <row r="23" spans="2:19" x14ac:dyDescent="0.3">
      <c r="C23" s="15" t="str">
        <f>IF(C20&gt;=30%,"👍","👎")</f>
        <v>👍</v>
      </c>
      <c r="F23" s="85" t="s">
        <v>91</v>
      </c>
      <c r="G23" s="40">
        <v>100152.90000000002</v>
      </c>
      <c r="H23" s="41">
        <v>137892</v>
      </c>
      <c r="I23" s="41">
        <v>26291</v>
      </c>
      <c r="J23" s="42">
        <v>264335.90000000002</v>
      </c>
    </row>
    <row r="24" spans="2:19" x14ac:dyDescent="0.3">
      <c r="F24" s="86" t="s">
        <v>93</v>
      </c>
      <c r="G24" s="40">
        <v>110047.5</v>
      </c>
      <c r="H24" s="41">
        <v>147241</v>
      </c>
      <c r="I24" s="41">
        <v>30110</v>
      </c>
      <c r="J24" s="42">
        <v>287398.5</v>
      </c>
    </row>
    <row r="25" spans="2:19" x14ac:dyDescent="0.3">
      <c r="B25" s="33" t="s">
        <v>17</v>
      </c>
      <c r="C25" s="31" t="s">
        <v>119</v>
      </c>
      <c r="F25" s="49" t="s">
        <v>104</v>
      </c>
      <c r="G25" s="87">
        <v>937427.40000000014</v>
      </c>
      <c r="H25" s="88">
        <v>1399063</v>
      </c>
      <c r="I25" s="88">
        <v>267939</v>
      </c>
      <c r="J25" s="89">
        <v>2604429.4</v>
      </c>
    </row>
    <row r="26" spans="2:19" x14ac:dyDescent="0.3">
      <c r="B26" s="33" t="s">
        <v>23</v>
      </c>
      <c r="C26" s="31" t="s">
        <v>120</v>
      </c>
    </row>
    <row r="27" spans="2:19" x14ac:dyDescent="0.3">
      <c r="B27" s="33" t="s">
        <v>65</v>
      </c>
      <c r="C27" s="31" t="s">
        <v>121</v>
      </c>
      <c r="L27" s="48"/>
    </row>
    <row r="28" spans="2:19" x14ac:dyDescent="0.3">
      <c r="B28" s="33" t="s">
        <v>31</v>
      </c>
      <c r="C28" s="31" t="s">
        <v>122</v>
      </c>
      <c r="F28" s="18" t="s">
        <v>106</v>
      </c>
      <c r="G28" s="19" t="s">
        <v>105</v>
      </c>
      <c r="H28" s="19"/>
      <c r="I28" s="19"/>
      <c r="J28" s="19"/>
    </row>
    <row r="29" spans="2:19" x14ac:dyDescent="0.3">
      <c r="B29" s="33" t="s">
        <v>61</v>
      </c>
      <c r="C29" s="31" t="s">
        <v>123</v>
      </c>
      <c r="F29" s="34" t="s">
        <v>128</v>
      </c>
      <c r="G29" s="81" t="s">
        <v>16</v>
      </c>
      <c r="H29" s="81" t="s">
        <v>11</v>
      </c>
      <c r="I29" s="81" t="s">
        <v>107</v>
      </c>
      <c r="J29" s="81" t="s">
        <v>108</v>
      </c>
    </row>
    <row r="30" spans="2:19" x14ac:dyDescent="0.3">
      <c r="B30" s="33" t="s">
        <v>38</v>
      </c>
      <c r="C30" s="31" t="s">
        <v>126</v>
      </c>
      <c r="F30" s="47" t="s">
        <v>94</v>
      </c>
      <c r="G30" s="28">
        <f>IFERROR(GETPIVOTDATA("Amount",$F$11,"Month",$F30,"Type",G$29),#N/A)</f>
        <v>53428.500000000015</v>
      </c>
      <c r="H30" s="28">
        <f>IFERROR(GETPIVOTDATA("Amount",$F$11,"Month",$F30,"Type",H$29),#N/A)</f>
        <v>86852</v>
      </c>
      <c r="I30" s="28">
        <f>G30</f>
        <v>53428.500000000015</v>
      </c>
      <c r="J30" s="28">
        <f>H30</f>
        <v>86852</v>
      </c>
    </row>
    <row r="31" spans="2:19" x14ac:dyDescent="0.3">
      <c r="B31" s="33" t="s">
        <v>47</v>
      </c>
      <c r="C31" s="31" t="s">
        <v>124</v>
      </c>
      <c r="F31" s="47" t="s">
        <v>96</v>
      </c>
      <c r="G31" s="28">
        <f t="shared" ref="G31:H41" si="1">IFERROR(GETPIVOTDATA("Amount",$F$11,"Month",$F31,"Type",G$29),#N/A)</f>
        <v>74763.000000000015</v>
      </c>
      <c r="H31" s="28">
        <f t="shared" si="1"/>
        <v>114001</v>
      </c>
      <c r="I31" s="28">
        <f t="shared" ref="I31:I41" si="2">G31</f>
        <v>74763.000000000015</v>
      </c>
      <c r="J31" s="28">
        <f t="shared" ref="J31:J41" si="3">H31</f>
        <v>114001</v>
      </c>
    </row>
    <row r="32" spans="2:19" x14ac:dyDescent="0.3">
      <c r="B32" s="33" t="s">
        <v>52</v>
      </c>
      <c r="C32" s="31" t="s">
        <v>125</v>
      </c>
      <c r="F32" s="47" t="s">
        <v>97</v>
      </c>
      <c r="G32" s="28">
        <f t="shared" si="1"/>
        <v>82333.799999999988</v>
      </c>
      <c r="H32" s="28">
        <f t="shared" si="1"/>
        <v>125768</v>
      </c>
      <c r="I32" s="28">
        <f t="shared" si="2"/>
        <v>82333.799999999988</v>
      </c>
      <c r="J32" s="28">
        <f t="shared" si="3"/>
        <v>125768</v>
      </c>
    </row>
    <row r="33" spans="6:10" x14ac:dyDescent="0.3">
      <c r="F33" s="47" t="s">
        <v>99</v>
      </c>
      <c r="G33" s="28">
        <f t="shared" si="1"/>
        <v>65802.599999999991</v>
      </c>
      <c r="H33" s="28">
        <f t="shared" si="1"/>
        <v>100320</v>
      </c>
      <c r="I33" s="28">
        <f t="shared" si="2"/>
        <v>65802.599999999991</v>
      </c>
      <c r="J33" s="28">
        <f t="shared" si="3"/>
        <v>100320</v>
      </c>
    </row>
    <row r="34" spans="6:10" x14ac:dyDescent="0.3">
      <c r="F34" s="47" t="s">
        <v>100</v>
      </c>
      <c r="G34" s="28">
        <f t="shared" si="1"/>
        <v>61731.899999999994</v>
      </c>
      <c r="H34" s="28">
        <f t="shared" si="1"/>
        <v>97536</v>
      </c>
      <c r="I34" s="28">
        <f t="shared" si="2"/>
        <v>61731.899999999994</v>
      </c>
      <c r="J34" s="28">
        <f t="shared" si="3"/>
        <v>97536</v>
      </c>
    </row>
    <row r="35" spans="6:10" x14ac:dyDescent="0.3">
      <c r="F35" s="47" t="s">
        <v>10</v>
      </c>
      <c r="G35" s="28">
        <f t="shared" si="1"/>
        <v>68711.399999999994</v>
      </c>
      <c r="H35" s="28">
        <f t="shared" si="1"/>
        <v>104735</v>
      </c>
      <c r="I35" s="28">
        <f t="shared" si="2"/>
        <v>68711.399999999994</v>
      </c>
      <c r="J35" s="28">
        <f t="shared" si="3"/>
        <v>104735</v>
      </c>
    </row>
    <row r="36" spans="6:10" x14ac:dyDescent="0.3">
      <c r="F36" s="47" t="s">
        <v>78</v>
      </c>
      <c r="G36" s="28">
        <f t="shared" si="1"/>
        <v>75638.700000000026</v>
      </c>
      <c r="H36" s="28">
        <f t="shared" si="1"/>
        <v>114566</v>
      </c>
      <c r="I36" s="28">
        <f t="shared" si="2"/>
        <v>75638.700000000026</v>
      </c>
      <c r="J36" s="28">
        <f t="shared" si="3"/>
        <v>114566</v>
      </c>
    </row>
    <row r="37" spans="6:10" x14ac:dyDescent="0.3">
      <c r="F37" s="47" t="s">
        <v>88</v>
      </c>
      <c r="G37" s="28">
        <f t="shared" si="1"/>
        <v>84410.1</v>
      </c>
      <c r="H37" s="28">
        <f t="shared" si="1"/>
        <v>128249</v>
      </c>
      <c r="I37" s="28">
        <f t="shared" si="2"/>
        <v>84410.1</v>
      </c>
      <c r="J37" s="28">
        <f t="shared" si="3"/>
        <v>128249</v>
      </c>
    </row>
    <row r="38" spans="6:10" x14ac:dyDescent="0.3">
      <c r="F38" s="47" t="s">
        <v>89</v>
      </c>
      <c r="G38" s="28">
        <f t="shared" si="1"/>
        <v>77162.39999999998</v>
      </c>
      <c r="H38" s="28">
        <f t="shared" si="1"/>
        <v>117857</v>
      </c>
      <c r="I38" s="28">
        <f t="shared" si="2"/>
        <v>77162.39999999998</v>
      </c>
      <c r="J38" s="28">
        <f t="shared" si="3"/>
        <v>117857</v>
      </c>
    </row>
    <row r="39" spans="6:10" x14ac:dyDescent="0.3">
      <c r="F39" s="47" t="s">
        <v>90</v>
      </c>
      <c r="G39" s="28">
        <f t="shared" si="1"/>
        <v>83244.60000000002</v>
      </c>
      <c r="H39" s="28">
        <f t="shared" si="1"/>
        <v>124046</v>
      </c>
      <c r="I39" s="28">
        <f t="shared" si="2"/>
        <v>83244.60000000002</v>
      </c>
      <c r="J39" s="28">
        <f t="shared" si="3"/>
        <v>124046</v>
      </c>
    </row>
    <row r="40" spans="6:10" x14ac:dyDescent="0.3">
      <c r="F40" s="47" t="s">
        <v>91</v>
      </c>
      <c r="G40" s="28">
        <f t="shared" si="1"/>
        <v>100152.90000000002</v>
      </c>
      <c r="H40" s="28">
        <f t="shared" si="1"/>
        <v>137892</v>
      </c>
      <c r="I40" s="28">
        <f t="shared" si="2"/>
        <v>100152.90000000002</v>
      </c>
      <c r="J40" s="28">
        <f t="shared" si="3"/>
        <v>137892</v>
      </c>
    </row>
    <row r="41" spans="6:10" x14ac:dyDescent="0.3">
      <c r="F41" s="47" t="s">
        <v>93</v>
      </c>
      <c r="G41" s="28">
        <f t="shared" si="1"/>
        <v>110047.5</v>
      </c>
      <c r="H41" s="28">
        <f t="shared" si="1"/>
        <v>147241</v>
      </c>
      <c r="I41" s="28">
        <f t="shared" si="2"/>
        <v>110047.5</v>
      </c>
      <c r="J41" s="28">
        <f t="shared" si="3"/>
        <v>147241</v>
      </c>
    </row>
    <row r="42" spans="6:10" x14ac:dyDescent="0.3">
      <c r="F42" s="20"/>
      <c r="G42" s="21"/>
      <c r="H42" s="21"/>
      <c r="I42" s="21"/>
      <c r="J42" s="21"/>
    </row>
  </sheetData>
  <sheetProtection pivotTables="0"/>
  <conditionalFormatting sqref="C22">
    <cfRule type="cellIs" dxfId="1" priority="7" operator="equal">
      <formula>"Bad"</formula>
    </cfRule>
    <cfRule type="cellIs" dxfId="0" priority="8" operator="equal">
      <formula>"Good"</formula>
    </cfRule>
  </conditionalFormatting>
  <conditionalFormatting pivot="1" sqref="M12:M19">
    <cfRule type="colorScale" priority="6">
      <colorScale>
        <cfvo type="min"/>
        <cfvo type="max"/>
        <color rgb="FFFCFCFF"/>
        <color rgb="FFF8696B"/>
      </colorScale>
    </cfRule>
  </conditionalFormatting>
  <conditionalFormatting pivot="1" sqref="P12:P16">
    <cfRule type="colorScale" priority="5">
      <colorScale>
        <cfvo type="min"/>
        <cfvo type="max"/>
        <color rgb="FFFCFCFF"/>
        <color rgb="FFF8696B"/>
      </colorScale>
    </cfRule>
  </conditionalFormatting>
  <conditionalFormatting pivot="1" sqref="S12:S16">
    <cfRule type="colorScale" priority="1">
      <colorScale>
        <cfvo type="min"/>
        <cfvo type="max"/>
        <color rgb="FFFCFCFF"/>
        <color rgb="FF63BE7B"/>
      </colorScale>
    </cfRule>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5E34-3932-4697-93C2-C94439C4A345}">
  <sheetPr codeName="Sheet5"/>
  <dimension ref="A1:A7"/>
  <sheetViews>
    <sheetView showGridLines="0" zoomScaleNormal="100" workbookViewId="0">
      <selection sqref="A1:XFD7"/>
    </sheetView>
  </sheetViews>
  <sheetFormatPr defaultRowHeight="14.4" x14ac:dyDescent="0.3"/>
  <cols>
    <col min="1" max="16384" width="8.88671875" style="35"/>
  </cols>
  <sheetData>
    <row r="1" s="80" customFormat="1" x14ac:dyDescent="0.3"/>
    <row r="2" s="80" customFormat="1" x14ac:dyDescent="0.3"/>
    <row r="3" s="80" customFormat="1" x14ac:dyDescent="0.3"/>
    <row r="4" s="80" customFormat="1" x14ac:dyDescent="0.3"/>
    <row r="5" s="80" customFormat="1" x14ac:dyDescent="0.3"/>
    <row r="6" s="80" customFormat="1" x14ac:dyDescent="0.3"/>
    <row r="7" s="80" customFormat="1" x14ac:dyDescent="0.3"/>
  </sheetData>
  <sheetProtection pivotTables="0"/>
  <mergeCells count="1">
    <mergeCell ref="A1:XFD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3E352A-352E-4C36-B42E-41A262A1BBC1}">
  <ds:schemaRefs>
    <ds:schemaRef ds:uri="http://schemas.microsoft.com/sharepoint/v3/contenttype/forms"/>
  </ds:schemaRefs>
</ds:datastoreItem>
</file>

<file path=customXml/itemProps2.xml><?xml version="1.0" encoding="utf-8"?>
<ds:datastoreItem xmlns:ds="http://schemas.openxmlformats.org/officeDocument/2006/customXml" ds:itemID="{F6C20517-749D-4C26-99DD-CB672B69B5A8}">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EE09918E-3AB5-4783-88B3-8EB0B0D041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Format Code</vt:lpstr>
      <vt:lpstr>Data</vt:lpstr>
      <vt:lpstr>Financial Goals</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Sundar V</dc:creator>
  <cp:lastModifiedBy>Akshay Rastogi</cp:lastModifiedBy>
  <dcterms:created xsi:type="dcterms:W3CDTF">2026-09-30T06:39:22Z</dcterms:created>
  <dcterms:modified xsi:type="dcterms:W3CDTF">2026-10-21T19:44:47Z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